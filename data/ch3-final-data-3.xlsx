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ebec2e613d9e33/Documents/PhD/Dissertation/Chapter 3/Data - GitHub/Chapter 3 - Financial Viability/data/"/>
    </mc:Choice>
  </mc:AlternateContent>
  <xr:revisionPtr revIDLastSave="905" documentId="8_{B0DB248C-EAAE-4F37-BC25-EA615ABF7173}" xr6:coauthVersionLast="47" xr6:coauthVersionMax="47" xr10:uidLastSave="{E98835DA-7711-4F22-AE10-00FA5E80E5A1}"/>
  <bookViews>
    <workbookView xWindow="-120" yWindow="-120" windowWidth="29040" windowHeight="15720" tabRatio="824" firstSheet="1" activeTab="5" xr2:uid="{2B58807D-230A-4E59-9069-8997487D2A9B}"/>
  </bookViews>
  <sheets>
    <sheet name="Crop Prices (2022-2024) (2)" sheetId="15" state="hidden" r:id="rId1"/>
    <sheet name="Financial Data (R)" sheetId="1" r:id="rId2"/>
    <sheet name="TIP Benchmarks (R)" sheetId="16" state="hidden" r:id="rId3"/>
    <sheet name="Cost-Benefit Analysis 2022" sheetId="8" r:id="rId4"/>
    <sheet name="Cost-Benefit Analysis 2023" sheetId="13" r:id="rId5"/>
    <sheet name="Cost-Benefit Analysis 2024" sheetId="14" r:id="rId6"/>
    <sheet name="Crop Revenue (2022-2024)" sheetId="5" r:id="rId7"/>
    <sheet name="Costs (2022-2024)" sheetId="7" r:id="rId8"/>
    <sheet name="Land Prep Costs (2022-2024)" sheetId="12" r:id="rId9"/>
    <sheet name="Labour Costs (2022-2024)" sheetId="6" r:id="rId10"/>
    <sheet name="Crop Prices (2022-2024)" sheetId="4" r:id="rId11"/>
    <sheet name="Crop Price Summary (AAFC)" sheetId="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4" l="1"/>
  <c r="C52" i="14"/>
  <c r="D52" i="14"/>
  <c r="E52" i="14"/>
  <c r="B52" i="14"/>
  <c r="AC42" i="1" a="1"/>
  <c r="AC42" i="1" s="1"/>
  <c r="AC22" i="1" a="1"/>
  <c r="AC22" i="1" s="1"/>
  <c r="AC2" i="1" a="1"/>
  <c r="AC2" i="1" s="1"/>
  <c r="AB2" i="1" a="1"/>
  <c r="AB2" i="1" s="1"/>
  <c r="V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B40" i="8"/>
  <c r="J40" i="13"/>
  <c r="V40" i="13" s="1"/>
  <c r="C40" i="13"/>
  <c r="D40" i="13"/>
  <c r="E40" i="13"/>
  <c r="F40" i="13"/>
  <c r="G40" i="13"/>
  <c r="H40" i="13"/>
  <c r="I40" i="13"/>
  <c r="K40" i="13"/>
  <c r="L40" i="13"/>
  <c r="M40" i="13"/>
  <c r="N40" i="13"/>
  <c r="O40" i="13"/>
  <c r="P40" i="13"/>
  <c r="Q40" i="13"/>
  <c r="R40" i="13"/>
  <c r="S40" i="13"/>
  <c r="T40" i="13"/>
  <c r="U40" i="13"/>
  <c r="B40" i="13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X3" i="5"/>
  <c r="Y3" i="5"/>
  <c r="Z5" i="6"/>
  <c r="C6" i="6"/>
  <c r="L40" i="4"/>
  <c r="L41" i="4"/>
  <c r="L42" i="4"/>
  <c r="L43" i="4"/>
  <c r="L44" i="4"/>
  <c r="L45" i="4"/>
  <c r="L46" i="4"/>
  <c r="L47" i="4"/>
  <c r="L39" i="4"/>
  <c r="I7" i="4"/>
  <c r="L32" i="4"/>
  <c r="I32" i="4"/>
  <c r="I31" i="4"/>
  <c r="I30" i="4"/>
  <c r="I29" i="4"/>
  <c r="L29" i="4"/>
  <c r="L27" i="4"/>
  <c r="L28" i="4"/>
  <c r="L30" i="4"/>
  <c r="L33" i="4"/>
  <c r="L34" i="4"/>
  <c r="L35" i="4"/>
  <c r="I27" i="4"/>
  <c r="I3" i="4"/>
  <c r="J3" i="4" s="1"/>
  <c r="K3" i="4" s="1"/>
  <c r="I10" i="4"/>
  <c r="I11" i="4"/>
  <c r="I8" i="4"/>
  <c r="I9" i="4"/>
  <c r="J32" i="4"/>
  <c r="K32" i="4" s="1"/>
  <c r="F32" i="4"/>
  <c r="K39" i="4"/>
  <c r="K28" i="4"/>
  <c r="K15" i="4"/>
  <c r="K4" i="4"/>
  <c r="K5" i="4"/>
  <c r="K6" i="4"/>
  <c r="V9" i="8"/>
  <c r="M2" i="1" l="1"/>
  <c r="D4" i="7"/>
  <c r="D5" i="7"/>
  <c r="F5" i="7"/>
  <c r="D3" i="7"/>
  <c r="F3" i="7" s="1"/>
  <c r="I3" i="7" s="1"/>
  <c r="F24" i="14"/>
  <c r="G24" i="14"/>
  <c r="H24" i="14"/>
  <c r="I24" i="14"/>
  <c r="F24" i="13"/>
  <c r="G24" i="13"/>
  <c r="H24" i="13"/>
  <c r="I24" i="13"/>
  <c r="F24" i="8"/>
  <c r="G24" i="8"/>
  <c r="H24" i="8"/>
  <c r="I24" i="8"/>
  <c r="D6" i="7"/>
  <c r="D7" i="7"/>
  <c r="F7" i="7" s="1"/>
  <c r="I7" i="7" s="1"/>
  <c r="K24" i="13" s="1"/>
  <c r="F27" i="15"/>
  <c r="F39" i="15"/>
  <c r="G40" i="15"/>
  <c r="G41" i="15"/>
  <c r="G42" i="15"/>
  <c r="G43" i="15"/>
  <c r="G44" i="15"/>
  <c r="G45" i="15"/>
  <c r="G46" i="15"/>
  <c r="G47" i="15"/>
  <c r="G39" i="15"/>
  <c r="G28" i="15"/>
  <c r="G29" i="15"/>
  <c r="G30" i="15"/>
  <c r="G31" i="15"/>
  <c r="G32" i="15"/>
  <c r="G33" i="15"/>
  <c r="G34" i="15"/>
  <c r="G35" i="15"/>
  <c r="G27" i="15"/>
  <c r="G16" i="15"/>
  <c r="G17" i="15"/>
  <c r="G18" i="15"/>
  <c r="G19" i="15"/>
  <c r="G20" i="15"/>
  <c r="G21" i="15"/>
  <c r="G22" i="15"/>
  <c r="G23" i="15"/>
  <c r="G15" i="15"/>
  <c r="G4" i="15"/>
  <c r="G5" i="15"/>
  <c r="G6" i="15"/>
  <c r="G7" i="15"/>
  <c r="G8" i="15"/>
  <c r="G9" i="15"/>
  <c r="G10" i="15"/>
  <c r="G11" i="15"/>
  <c r="G3" i="15"/>
  <c r="F47" i="15"/>
  <c r="F46" i="15"/>
  <c r="F45" i="15"/>
  <c r="F44" i="15"/>
  <c r="F43" i="15"/>
  <c r="F42" i="15"/>
  <c r="F41" i="15"/>
  <c r="F40" i="15"/>
  <c r="F34" i="15"/>
  <c r="F32" i="15"/>
  <c r="F31" i="15"/>
  <c r="F30" i="15"/>
  <c r="F29" i="15"/>
  <c r="I34" i="12"/>
  <c r="I38" i="12"/>
  <c r="I37" i="12"/>
  <c r="I36" i="12"/>
  <c r="I35" i="12"/>
  <c r="I31" i="12"/>
  <c r="I32" i="12"/>
  <c r="I33" i="12"/>
  <c r="E12" i="12"/>
  <c r="I4" i="12"/>
  <c r="I39" i="4"/>
  <c r="X6" i="13"/>
  <c r="X8" i="13" s="1"/>
  <c r="I40" i="4"/>
  <c r="I41" i="4"/>
  <c r="I42" i="4"/>
  <c r="I43" i="4"/>
  <c r="I44" i="4"/>
  <c r="I45" i="4"/>
  <c r="I46" i="4"/>
  <c r="I47" i="4"/>
  <c r="F27" i="4"/>
  <c r="F47" i="4"/>
  <c r="J47" i="4" s="1"/>
  <c r="F46" i="4"/>
  <c r="J46" i="4" s="1"/>
  <c r="F45" i="4"/>
  <c r="F44" i="4"/>
  <c r="F43" i="4"/>
  <c r="F42" i="4"/>
  <c r="F41" i="4"/>
  <c r="F40" i="4"/>
  <c r="F39" i="4"/>
  <c r="F35" i="4"/>
  <c r="F34" i="4"/>
  <c r="F33" i="4"/>
  <c r="F31" i="4"/>
  <c r="F30" i="4"/>
  <c r="F29" i="4"/>
  <c r="F28" i="4"/>
  <c r="V40" i="6"/>
  <c r="U40" i="6"/>
  <c r="T40" i="6"/>
  <c r="S40" i="6"/>
  <c r="R40" i="6"/>
  <c r="Q40" i="6"/>
  <c r="P40" i="6"/>
  <c r="O40" i="6"/>
  <c r="P38" i="6"/>
  <c r="Q38" i="6"/>
  <c r="R38" i="6"/>
  <c r="S38" i="6"/>
  <c r="T38" i="6"/>
  <c r="U38" i="6"/>
  <c r="V38" i="6"/>
  <c r="O38" i="6"/>
  <c r="O18" i="13"/>
  <c r="P18" i="13"/>
  <c r="Q18" i="13"/>
  <c r="N18" i="13"/>
  <c r="E16" i="12"/>
  <c r="E19" i="12"/>
  <c r="E24" i="12"/>
  <c r="E37" i="12" s="1"/>
  <c r="D37" i="12"/>
  <c r="C37" i="12"/>
  <c r="C27" i="12"/>
  <c r="D27" i="12"/>
  <c r="F27" i="12" s="1"/>
  <c r="I27" i="12" s="1"/>
  <c r="C33" i="12"/>
  <c r="D33" i="12" s="1"/>
  <c r="E34" i="12"/>
  <c r="C22" i="12"/>
  <c r="D22" i="12" s="1"/>
  <c r="F22" i="12" s="1"/>
  <c r="I22" i="12" s="1"/>
  <c r="M14" i="12"/>
  <c r="M13" i="12"/>
  <c r="M9" i="1"/>
  <c r="M3" i="1"/>
  <c r="M4" i="1"/>
  <c r="M5" i="1"/>
  <c r="M6" i="1"/>
  <c r="M7" i="1"/>
  <c r="M8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K22" i="14"/>
  <c r="V36" i="14"/>
  <c r="V35" i="14"/>
  <c r="AJ30" i="14"/>
  <c r="V9" i="14"/>
  <c r="Q22" i="13"/>
  <c r="R22" i="13"/>
  <c r="E5" i="12"/>
  <c r="E11" i="12" s="1"/>
  <c r="E31" i="12" s="1"/>
  <c r="V36" i="13"/>
  <c r="V35" i="13"/>
  <c r="AJ30" i="13"/>
  <c r="V9" i="13"/>
  <c r="AJ30" i="8"/>
  <c r="V7" i="6"/>
  <c r="U7" i="6"/>
  <c r="T7" i="6"/>
  <c r="T8" i="6" s="1"/>
  <c r="S26" i="14" s="1"/>
  <c r="S7" i="6"/>
  <c r="S8" i="6" s="1"/>
  <c r="R26" i="14" s="1"/>
  <c r="R7" i="6"/>
  <c r="R8" i="6" s="1"/>
  <c r="Q26" i="14" s="1"/>
  <c r="Q7" i="6"/>
  <c r="Q8" i="6" s="1"/>
  <c r="P26" i="14" s="1"/>
  <c r="P7" i="6"/>
  <c r="O7" i="6"/>
  <c r="N7" i="6"/>
  <c r="M7" i="6"/>
  <c r="L7" i="6"/>
  <c r="K7" i="6"/>
  <c r="J7" i="6"/>
  <c r="I7" i="6"/>
  <c r="H7" i="6"/>
  <c r="G7" i="6"/>
  <c r="D6" i="6"/>
  <c r="C26" i="13" s="1"/>
  <c r="E6" i="6"/>
  <c r="D26" i="13" s="1"/>
  <c r="B26" i="13"/>
  <c r="C8" i="6"/>
  <c r="B26" i="14" s="1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G6" i="6" s="1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G3" i="6"/>
  <c r="E38" i="12"/>
  <c r="C36" i="12"/>
  <c r="D36" i="12" s="1"/>
  <c r="C38" i="12"/>
  <c r="D38" i="12" s="1"/>
  <c r="F38" i="12" s="1"/>
  <c r="C35" i="12"/>
  <c r="D35" i="12" s="1"/>
  <c r="C24" i="12"/>
  <c r="D24" i="12" s="1"/>
  <c r="C34" i="12"/>
  <c r="D34" i="12" s="1"/>
  <c r="F34" i="12" s="1"/>
  <c r="C32" i="12"/>
  <c r="D32" i="12" s="1"/>
  <c r="C31" i="12"/>
  <c r="D31" i="12" s="1"/>
  <c r="C23" i="12"/>
  <c r="D23" i="12" s="1"/>
  <c r="F23" i="12" s="1"/>
  <c r="I23" i="12" s="1"/>
  <c r="E25" i="12"/>
  <c r="C25" i="12"/>
  <c r="D25" i="12" s="1"/>
  <c r="F25" i="12" s="1"/>
  <c r="I25" i="12" s="1"/>
  <c r="C26" i="12"/>
  <c r="D26" i="12" s="1"/>
  <c r="F26" i="12" s="1"/>
  <c r="I26" i="12" s="1"/>
  <c r="C28" i="12"/>
  <c r="D28" i="12" s="1"/>
  <c r="F28" i="12" s="1"/>
  <c r="I28" i="12" s="1"/>
  <c r="C21" i="12"/>
  <c r="D21" i="12" s="1"/>
  <c r="F21" i="12" s="1"/>
  <c r="I21" i="12" s="1"/>
  <c r="C20" i="12"/>
  <c r="D20" i="12" s="1"/>
  <c r="F20" i="12" s="1"/>
  <c r="I20" i="12" s="1"/>
  <c r="C19" i="12"/>
  <c r="D19" i="12" s="1"/>
  <c r="C30" i="12"/>
  <c r="D30" i="12" s="1"/>
  <c r="C29" i="12"/>
  <c r="D29" i="12" s="1"/>
  <c r="C18" i="12"/>
  <c r="D18" i="12" s="1"/>
  <c r="F18" i="12" s="1"/>
  <c r="I18" i="12" s="1"/>
  <c r="E17" i="12"/>
  <c r="E30" i="12" s="1"/>
  <c r="C17" i="12"/>
  <c r="D17" i="12" s="1"/>
  <c r="F17" i="12" s="1"/>
  <c r="I17" i="12" s="1"/>
  <c r="C16" i="12"/>
  <c r="D16" i="12" s="1"/>
  <c r="N4" i="12"/>
  <c r="N3" i="12"/>
  <c r="N2" i="12"/>
  <c r="D3" i="12"/>
  <c r="F3" i="12" s="1"/>
  <c r="I3" i="12" s="1"/>
  <c r="D4" i="12"/>
  <c r="F4" i="12" s="1"/>
  <c r="D5" i="12"/>
  <c r="D6" i="12"/>
  <c r="F6" i="12" s="1"/>
  <c r="I6" i="12" s="1"/>
  <c r="D10" i="12"/>
  <c r="D11" i="12"/>
  <c r="D12" i="12"/>
  <c r="D8" i="12"/>
  <c r="D9" i="12"/>
  <c r="F9" i="12" s="1"/>
  <c r="I9" i="12" s="1"/>
  <c r="D7" i="12"/>
  <c r="F7" i="12" s="1"/>
  <c r="I7" i="12" s="1"/>
  <c r="G10" i="12"/>
  <c r="H10" i="12"/>
  <c r="E10" i="12"/>
  <c r="E8" i="12"/>
  <c r="F16" i="7"/>
  <c r="I16" i="7" s="1"/>
  <c r="F15" i="7"/>
  <c r="I15" i="7" s="1"/>
  <c r="Z6" i="6"/>
  <c r="V34" i="6" s="1"/>
  <c r="U32" i="14" s="1"/>
  <c r="V28" i="6"/>
  <c r="U32" i="13" s="1"/>
  <c r="Z4" i="6"/>
  <c r="V22" i="6" s="1"/>
  <c r="U32" i="8" s="1"/>
  <c r="U22" i="8"/>
  <c r="T22" i="8"/>
  <c r="S22" i="8"/>
  <c r="R22" i="8"/>
  <c r="Q22" i="8"/>
  <c r="P22" i="8"/>
  <c r="O22" i="8"/>
  <c r="N22" i="8"/>
  <c r="M22" i="8"/>
  <c r="L22" i="8"/>
  <c r="K22" i="8"/>
  <c r="J22" i="8"/>
  <c r="F4" i="7"/>
  <c r="I4" i="7" s="1"/>
  <c r="F6" i="7"/>
  <c r="I6" i="7" s="1"/>
  <c r="O24" i="8" s="1"/>
  <c r="F8" i="7"/>
  <c r="I8" i="7" s="1"/>
  <c r="K24" i="14" s="1"/>
  <c r="F9" i="7"/>
  <c r="I9" i="7" s="1"/>
  <c r="E21" i="8" s="1"/>
  <c r="F10" i="7"/>
  <c r="I10" i="7" s="1"/>
  <c r="F11" i="7"/>
  <c r="I11" i="7" s="1"/>
  <c r="F12" i="7"/>
  <c r="I12" i="7" s="1"/>
  <c r="F13" i="7"/>
  <c r="I13" i="7" s="1"/>
  <c r="S22" i="13" s="1"/>
  <c r="F14" i="7"/>
  <c r="I14" i="7" s="1"/>
  <c r="P22" i="14" s="1"/>
  <c r="F2" i="7"/>
  <c r="I2" i="7" s="1"/>
  <c r="F23" i="4"/>
  <c r="J23" i="4" s="1"/>
  <c r="F22" i="4"/>
  <c r="J22" i="4" s="1"/>
  <c r="F21" i="4"/>
  <c r="J21" i="4" s="1"/>
  <c r="F20" i="4"/>
  <c r="J20" i="4" s="1"/>
  <c r="F19" i="4"/>
  <c r="J19" i="4" s="1"/>
  <c r="F18" i="4"/>
  <c r="J18" i="4" s="1"/>
  <c r="F17" i="4"/>
  <c r="J17" i="4" s="1"/>
  <c r="F16" i="4"/>
  <c r="J16" i="4" s="1"/>
  <c r="F15" i="4"/>
  <c r="J15" i="4" s="1"/>
  <c r="Q4" i="5" s="1"/>
  <c r="Q5" i="5" s="1"/>
  <c r="H11" i="4"/>
  <c r="G11" i="4"/>
  <c r="I35" i="4" s="1"/>
  <c r="F11" i="4"/>
  <c r="I34" i="4"/>
  <c r="F10" i="4"/>
  <c r="I33" i="4"/>
  <c r="F9" i="4"/>
  <c r="F8" i="4"/>
  <c r="F7" i="4"/>
  <c r="I6" i="4"/>
  <c r="F6" i="4"/>
  <c r="I5" i="4"/>
  <c r="F5" i="4"/>
  <c r="I4" i="4"/>
  <c r="I28" i="4" s="1"/>
  <c r="F4" i="4"/>
  <c r="F3" i="4"/>
  <c r="G4" i="6" l="1"/>
  <c r="O39" i="6"/>
  <c r="N34" i="13" s="1"/>
  <c r="L22" i="5"/>
  <c r="K20" i="4"/>
  <c r="N19" i="5"/>
  <c r="K19" i="4"/>
  <c r="L70" i="5"/>
  <c r="L71" i="5" s="1"/>
  <c r="K8" i="14" s="1"/>
  <c r="K47" i="4"/>
  <c r="N28" i="5"/>
  <c r="N29" i="5" s="1"/>
  <c r="M5" i="8" s="1"/>
  <c r="K21" i="4"/>
  <c r="N34" i="5"/>
  <c r="N35" i="5" s="1"/>
  <c r="M5" i="14" s="1"/>
  <c r="K23" i="4"/>
  <c r="L10" i="5"/>
  <c r="L11" i="5" s="1"/>
  <c r="K3" i="14" s="1"/>
  <c r="K17" i="4"/>
  <c r="R16" i="5"/>
  <c r="R17" i="5" s="1"/>
  <c r="Q4" i="8" s="1"/>
  <c r="K18" i="4"/>
  <c r="O67" i="5"/>
  <c r="O68" i="5" s="1"/>
  <c r="N8" i="13" s="1"/>
  <c r="K46" i="4"/>
  <c r="N31" i="5"/>
  <c r="N32" i="5" s="1"/>
  <c r="M5" i="13" s="1"/>
  <c r="K22" i="4"/>
  <c r="K7" i="5"/>
  <c r="K8" i="5" s="1"/>
  <c r="J3" i="13" s="1"/>
  <c r="K16" i="4"/>
  <c r="J39" i="4"/>
  <c r="U40" i="5" s="1"/>
  <c r="U41" i="5" s="1"/>
  <c r="T6" i="8" s="1"/>
  <c r="J33" i="4"/>
  <c r="K33" i="4" s="1"/>
  <c r="J34" i="4"/>
  <c r="J40" i="4"/>
  <c r="P43" i="5" s="1"/>
  <c r="P44" i="5" s="1"/>
  <c r="O6" i="13" s="1"/>
  <c r="T19" i="5"/>
  <c r="T20" i="5" s="1"/>
  <c r="S19" i="5"/>
  <c r="S20" i="5" s="1"/>
  <c r="R19" i="5"/>
  <c r="J44" i="4"/>
  <c r="Q58" i="5" s="1"/>
  <c r="Q59" i="5" s="1"/>
  <c r="P7" i="14" s="1"/>
  <c r="J45" i="4"/>
  <c r="N64" i="5" s="1"/>
  <c r="N65" i="5" s="1"/>
  <c r="M8" i="8" s="1"/>
  <c r="I5" i="7"/>
  <c r="U8" i="6"/>
  <c r="T26" i="14" s="1"/>
  <c r="V8" i="6"/>
  <c r="U26" i="14" s="1"/>
  <c r="V6" i="6"/>
  <c r="U26" i="13" s="1"/>
  <c r="B21" i="13"/>
  <c r="C21" i="8"/>
  <c r="D21" i="8"/>
  <c r="C21" i="13"/>
  <c r="N24" i="14"/>
  <c r="T24" i="14"/>
  <c r="J24" i="14"/>
  <c r="F35" i="15"/>
  <c r="F33" i="15"/>
  <c r="F28" i="15"/>
  <c r="J41" i="4"/>
  <c r="T46" i="5" s="1"/>
  <c r="T47" i="5" s="1"/>
  <c r="S6" i="14" s="1"/>
  <c r="J42" i="4"/>
  <c r="K52" i="5" s="1"/>
  <c r="K53" i="5" s="1"/>
  <c r="J7" i="8" s="1"/>
  <c r="J43" i="4"/>
  <c r="T55" i="5" s="1"/>
  <c r="T56" i="5" s="1"/>
  <c r="S7" i="13" s="1"/>
  <c r="L43" i="5"/>
  <c r="L44" i="5" s="1"/>
  <c r="K6" i="13" s="1"/>
  <c r="Q64" i="5"/>
  <c r="Q65" i="5" s="1"/>
  <c r="P8" i="8" s="1"/>
  <c r="P64" i="5"/>
  <c r="P65" i="5" s="1"/>
  <c r="O8" i="8" s="1"/>
  <c r="O64" i="5"/>
  <c r="O65" i="5" s="1"/>
  <c r="N8" i="8" s="1"/>
  <c r="N67" i="5"/>
  <c r="N68" i="5" s="1"/>
  <c r="M8" i="13" s="1"/>
  <c r="M67" i="5"/>
  <c r="M68" i="5" s="1"/>
  <c r="L8" i="13" s="1"/>
  <c r="T70" i="5"/>
  <c r="T71" i="5" s="1"/>
  <c r="S8" i="14" s="1"/>
  <c r="V46" i="5"/>
  <c r="V47" i="5" s="1"/>
  <c r="U6" i="14" s="1"/>
  <c r="U46" i="5"/>
  <c r="U47" i="5" s="1"/>
  <c r="T6" i="14" s="1"/>
  <c r="L52" i="5"/>
  <c r="L53" i="5" s="1"/>
  <c r="K7" i="8" s="1"/>
  <c r="P70" i="5"/>
  <c r="P71" i="5" s="1"/>
  <c r="O8" i="14" s="1"/>
  <c r="K55" i="5"/>
  <c r="K56" i="5" s="1"/>
  <c r="J7" i="13" s="1"/>
  <c r="V70" i="5"/>
  <c r="V71" i="5" s="1"/>
  <c r="U8" i="14" s="1"/>
  <c r="U70" i="5"/>
  <c r="U71" i="5" s="1"/>
  <c r="T8" i="14" s="1"/>
  <c r="R70" i="5"/>
  <c r="R71" i="5" s="1"/>
  <c r="Q8" i="14" s="1"/>
  <c r="Q70" i="5"/>
  <c r="Q71" i="5" s="1"/>
  <c r="P8" i="14" s="1"/>
  <c r="L67" i="5"/>
  <c r="L68" i="5" s="1"/>
  <c r="K8" i="13" s="1"/>
  <c r="S70" i="5"/>
  <c r="S71" i="5" s="1"/>
  <c r="R8" i="14" s="1"/>
  <c r="K70" i="5"/>
  <c r="K71" i="5" s="1"/>
  <c r="J8" i="14" s="1"/>
  <c r="S40" i="5"/>
  <c r="S41" i="5" s="1"/>
  <c r="R6" i="8" s="1"/>
  <c r="G58" i="5"/>
  <c r="G59" i="5" s="1"/>
  <c r="F7" i="14" s="1"/>
  <c r="J27" i="4"/>
  <c r="K27" i="4" s="1"/>
  <c r="T22" i="5"/>
  <c r="T23" i="5" s="1"/>
  <c r="S22" i="5"/>
  <c r="Q19" i="5"/>
  <c r="Q20" i="5" s="1"/>
  <c r="J58" i="5"/>
  <c r="J59" i="5" s="1"/>
  <c r="I7" i="14" s="1"/>
  <c r="O70" i="5"/>
  <c r="O71" i="5" s="1"/>
  <c r="N8" i="14" s="1"/>
  <c r="R22" i="5"/>
  <c r="R23" i="5" s="1"/>
  <c r="Q4" i="14" s="1"/>
  <c r="K16" i="5"/>
  <c r="K17" i="5" s="1"/>
  <c r="J4" i="8" s="1"/>
  <c r="V16" i="5"/>
  <c r="V17" i="5" s="1"/>
  <c r="U4" i="8" s="1"/>
  <c r="U16" i="5"/>
  <c r="U17" i="5" s="1"/>
  <c r="T4" i="8" s="1"/>
  <c r="K19" i="5"/>
  <c r="K22" i="5"/>
  <c r="K23" i="5" s="1"/>
  <c r="J4" i="14" s="1"/>
  <c r="V22" i="5"/>
  <c r="V23" i="5" s="1"/>
  <c r="T16" i="5"/>
  <c r="T17" i="5" s="1"/>
  <c r="S4" i="8" s="1"/>
  <c r="U22" i="5"/>
  <c r="U23" i="5" s="1"/>
  <c r="T4" i="14" s="1"/>
  <c r="V19" i="5"/>
  <c r="V20" i="5" s="1"/>
  <c r="T40" i="5"/>
  <c r="T41" i="5" s="1"/>
  <c r="S6" i="8" s="1"/>
  <c r="U19" i="5"/>
  <c r="U20" i="5" s="1"/>
  <c r="T4" i="13" s="1"/>
  <c r="R64" i="5"/>
  <c r="R65" i="5" s="1"/>
  <c r="Q8" i="8" s="1"/>
  <c r="F67" i="5"/>
  <c r="F68" i="5" s="1"/>
  <c r="E8" i="13" s="1"/>
  <c r="J67" i="5"/>
  <c r="J68" i="5" s="1"/>
  <c r="I8" i="13" s="1"/>
  <c r="D67" i="5"/>
  <c r="D68" i="5" s="1"/>
  <c r="C8" i="13" s="1"/>
  <c r="H67" i="5"/>
  <c r="H68" i="5" s="1"/>
  <c r="G8" i="13" s="1"/>
  <c r="E67" i="5"/>
  <c r="E68" i="5" s="1"/>
  <c r="D8" i="13" s="1"/>
  <c r="I67" i="5"/>
  <c r="I68" i="5" s="1"/>
  <c r="H8" i="13" s="1"/>
  <c r="H64" i="5"/>
  <c r="H65" i="5" s="1"/>
  <c r="G8" i="8" s="1"/>
  <c r="C64" i="5"/>
  <c r="C65" i="5" s="1"/>
  <c r="B8" i="8" s="1"/>
  <c r="F64" i="5"/>
  <c r="F65" i="5" s="1"/>
  <c r="E8" i="8" s="1"/>
  <c r="I64" i="5"/>
  <c r="I65" i="5" s="1"/>
  <c r="H8" i="8" s="1"/>
  <c r="J64" i="5"/>
  <c r="J65" i="5" s="1"/>
  <c r="I8" i="8" s="1"/>
  <c r="D64" i="5"/>
  <c r="D65" i="5" s="1"/>
  <c r="C8" i="8" s="1"/>
  <c r="G64" i="5"/>
  <c r="G65" i="5" s="1"/>
  <c r="F8" i="8" s="1"/>
  <c r="R58" i="5"/>
  <c r="R59" i="5" s="1"/>
  <c r="Q7" i="14" s="1"/>
  <c r="P58" i="5"/>
  <c r="P59" i="5" s="1"/>
  <c r="O7" i="14" s="1"/>
  <c r="N58" i="5"/>
  <c r="N59" i="5" s="1"/>
  <c r="M7" i="14" s="1"/>
  <c r="K58" i="5"/>
  <c r="K59" i="5" s="1"/>
  <c r="J7" i="14" s="1"/>
  <c r="N52" i="5"/>
  <c r="N53" i="5" s="1"/>
  <c r="M40" i="5"/>
  <c r="M41" i="5" s="1"/>
  <c r="P55" i="5"/>
  <c r="P56" i="5" s="1"/>
  <c r="O7" i="13" s="1"/>
  <c r="O19" i="5"/>
  <c r="O20" i="5" s="1"/>
  <c r="Q22" i="5"/>
  <c r="Q23" i="5" s="1"/>
  <c r="P4" i="14" s="1"/>
  <c r="R52" i="5"/>
  <c r="R53" i="5" s="1"/>
  <c r="Q7" i="8" s="1"/>
  <c r="M46" i="5"/>
  <c r="M47" i="5" s="1"/>
  <c r="L6" i="14" s="1"/>
  <c r="S55" i="5"/>
  <c r="S56" i="5" s="1"/>
  <c r="R7" i="13" s="1"/>
  <c r="M19" i="5"/>
  <c r="M20" i="5" s="1"/>
  <c r="N70" i="5"/>
  <c r="N71" i="5" s="1"/>
  <c r="M8" i="14" s="1"/>
  <c r="N16" i="5"/>
  <c r="N17" i="5" s="1"/>
  <c r="M4" i="8" s="1"/>
  <c r="L19" i="5"/>
  <c r="L20" i="5" s="1"/>
  <c r="N22" i="5"/>
  <c r="V67" i="5"/>
  <c r="V68" i="5" s="1"/>
  <c r="U8" i="13" s="1"/>
  <c r="M70" i="5"/>
  <c r="M71" i="5" s="1"/>
  <c r="L8" i="14" s="1"/>
  <c r="R4" i="5"/>
  <c r="R5" i="5" s="1"/>
  <c r="Q3" i="8" s="1"/>
  <c r="S43" i="5"/>
  <c r="S44" i="5" s="1"/>
  <c r="R6" i="13" s="1"/>
  <c r="U52" i="5"/>
  <c r="U53" i="5" s="1"/>
  <c r="T7" i="8" s="1"/>
  <c r="U55" i="5"/>
  <c r="U56" i="5" s="1"/>
  <c r="T7" i="13" s="1"/>
  <c r="M16" i="5"/>
  <c r="M22" i="5"/>
  <c r="M23" i="5" s="1"/>
  <c r="L4" i="14" s="1"/>
  <c r="U67" i="5"/>
  <c r="U68" i="5" s="1"/>
  <c r="T8" i="13" s="1"/>
  <c r="R40" i="5"/>
  <c r="R41" i="5" s="1"/>
  <c r="Q6" i="8" s="1"/>
  <c r="M52" i="5"/>
  <c r="M53" i="5" s="1"/>
  <c r="L7" i="8" s="1"/>
  <c r="R46" i="5"/>
  <c r="R47" i="5" s="1"/>
  <c r="Q6" i="14" s="1"/>
  <c r="P19" i="5"/>
  <c r="P20" i="5" s="1"/>
  <c r="V55" i="5"/>
  <c r="V56" i="5" s="1"/>
  <c r="U7" i="13" s="1"/>
  <c r="L16" i="5"/>
  <c r="L17" i="5" s="1"/>
  <c r="K4" i="8" s="1"/>
  <c r="S67" i="5"/>
  <c r="S68" i="5" s="1"/>
  <c r="R8" i="13" s="1"/>
  <c r="Q28" i="5"/>
  <c r="Q29" i="5" s="1"/>
  <c r="P5" i="8" s="1"/>
  <c r="R67" i="5"/>
  <c r="R68" i="5" s="1"/>
  <c r="Q8" i="13" s="1"/>
  <c r="K43" i="5"/>
  <c r="K44" i="5" s="1"/>
  <c r="J6" i="13" s="1"/>
  <c r="Q55" i="5"/>
  <c r="Q56" i="5" s="1"/>
  <c r="P7" i="13" s="1"/>
  <c r="V43" i="5"/>
  <c r="V44" i="5" s="1"/>
  <c r="U6" i="13" s="1"/>
  <c r="P16" i="5"/>
  <c r="P17" i="5" s="1"/>
  <c r="O4" i="8" s="1"/>
  <c r="S52" i="5"/>
  <c r="S53" i="5" s="1"/>
  <c r="R7" i="8" s="1"/>
  <c r="L64" i="5"/>
  <c r="L65" i="5" s="1"/>
  <c r="K8" i="8" s="1"/>
  <c r="Q43" i="5"/>
  <c r="Q44" i="5" s="1"/>
  <c r="P6" i="13" s="1"/>
  <c r="R28" i="5"/>
  <c r="R29" i="5" s="1"/>
  <c r="Q5" i="8" s="1"/>
  <c r="K40" i="5"/>
  <c r="K41" i="5" s="1"/>
  <c r="J6" i="8" s="1"/>
  <c r="E58" i="5"/>
  <c r="E59" i="5" s="1"/>
  <c r="D7" i="14" s="1"/>
  <c r="Q67" i="5"/>
  <c r="Q68" i="5" s="1"/>
  <c r="P8" i="13" s="1"/>
  <c r="Q40" i="5"/>
  <c r="Q41" i="5" s="1"/>
  <c r="P6" i="8" s="1"/>
  <c r="P40" i="5"/>
  <c r="P41" i="5" s="1"/>
  <c r="O40" i="5"/>
  <c r="O41" i="5" s="1"/>
  <c r="Q16" i="5"/>
  <c r="Q17" i="5" s="1"/>
  <c r="P4" i="8" s="1"/>
  <c r="N46" i="5"/>
  <c r="N47" i="5" s="1"/>
  <c r="M6" i="14" s="1"/>
  <c r="P22" i="5"/>
  <c r="P23" i="5" s="1"/>
  <c r="O4" i="14" s="1"/>
  <c r="O16" i="5"/>
  <c r="P28" i="5"/>
  <c r="P29" i="5" s="1"/>
  <c r="O5" i="8" s="1"/>
  <c r="S28" i="5"/>
  <c r="S29" i="5" s="1"/>
  <c r="R5" i="8" s="1"/>
  <c r="V40" i="5"/>
  <c r="V41" i="5" s="1"/>
  <c r="N43" i="5"/>
  <c r="N44" i="5" s="1"/>
  <c r="M6" i="13" s="1"/>
  <c r="F58" i="5"/>
  <c r="F59" i="5" s="1"/>
  <c r="E7" i="14" s="1"/>
  <c r="P67" i="5"/>
  <c r="P68" i="5" s="1"/>
  <c r="O8" i="13" s="1"/>
  <c r="N40" i="5"/>
  <c r="N41" i="5" s="1"/>
  <c r="M6" i="8" s="1"/>
  <c r="N55" i="5"/>
  <c r="N56" i="5" s="1"/>
  <c r="M7" i="13" s="1"/>
  <c r="S16" i="5"/>
  <c r="S17" i="5" s="1"/>
  <c r="R4" i="8" s="1"/>
  <c r="L40" i="5"/>
  <c r="L41" i="5" s="1"/>
  <c r="O22" i="5"/>
  <c r="O23" i="5" s="1"/>
  <c r="N4" i="14" s="1"/>
  <c r="O28" i="5"/>
  <c r="O29" i="5" s="1"/>
  <c r="N5" i="8" s="1"/>
  <c r="T67" i="5"/>
  <c r="T68" i="5" s="1"/>
  <c r="S8" i="13" s="1"/>
  <c r="K67" i="5"/>
  <c r="K68" i="5" s="1"/>
  <c r="J8" i="13" s="1"/>
  <c r="S4" i="13"/>
  <c r="R4" i="13"/>
  <c r="J30" i="4"/>
  <c r="K30" i="4" s="1"/>
  <c r="J31" i="4"/>
  <c r="K31" i="4" s="1"/>
  <c r="J28" i="4"/>
  <c r="J29" i="4"/>
  <c r="K29" i="4" s="1"/>
  <c r="J35" i="4"/>
  <c r="K35" i="4" s="1"/>
  <c r="M7" i="5"/>
  <c r="M8" i="5" s="1"/>
  <c r="L3" i="13" s="1"/>
  <c r="M10" i="5"/>
  <c r="M11" i="5" s="1"/>
  <c r="L3" i="14" s="1"/>
  <c r="U28" i="5"/>
  <c r="U29" i="5" s="1"/>
  <c r="T5" i="8" s="1"/>
  <c r="U31" i="5"/>
  <c r="U32" i="5" s="1"/>
  <c r="T5" i="13" s="1"/>
  <c r="U34" i="5"/>
  <c r="U35" i="5" s="1"/>
  <c r="T5" i="14" s="1"/>
  <c r="N7" i="5"/>
  <c r="N8" i="5" s="1"/>
  <c r="M3" i="13" s="1"/>
  <c r="N10" i="5"/>
  <c r="N11" i="5" s="1"/>
  <c r="M3" i="14" s="1"/>
  <c r="V28" i="5"/>
  <c r="V29" i="5" s="1"/>
  <c r="U5" i="8" s="1"/>
  <c r="V31" i="5"/>
  <c r="V32" i="5" s="1"/>
  <c r="U5" i="13" s="1"/>
  <c r="V34" i="5"/>
  <c r="V35" i="5" s="1"/>
  <c r="U5" i="14" s="1"/>
  <c r="O7" i="5"/>
  <c r="O8" i="5" s="1"/>
  <c r="N3" i="13" s="1"/>
  <c r="O10" i="5"/>
  <c r="O11" i="5" s="1"/>
  <c r="N3" i="14" s="1"/>
  <c r="P7" i="5"/>
  <c r="P8" i="5" s="1"/>
  <c r="O3" i="13" s="1"/>
  <c r="P10" i="5"/>
  <c r="P11" i="5" s="1"/>
  <c r="O3" i="14" s="1"/>
  <c r="R7" i="5"/>
  <c r="R8" i="5" s="1"/>
  <c r="Q3" i="13" s="1"/>
  <c r="R10" i="5"/>
  <c r="R11" i="5" s="1"/>
  <c r="Q3" i="14" s="1"/>
  <c r="T31" i="5"/>
  <c r="T32" i="5" s="1"/>
  <c r="S5" i="13" s="1"/>
  <c r="Q7" i="5"/>
  <c r="Q8" i="5" s="1"/>
  <c r="P3" i="13" s="1"/>
  <c r="S7" i="5"/>
  <c r="S8" i="5" s="1"/>
  <c r="R3" i="13" s="1"/>
  <c r="S10" i="5"/>
  <c r="S11" i="5" s="1"/>
  <c r="R3" i="14" s="1"/>
  <c r="T7" i="5"/>
  <c r="T8" i="5" s="1"/>
  <c r="S3" i="13" s="1"/>
  <c r="T10" i="5"/>
  <c r="T11" i="5" s="1"/>
  <c r="S3" i="14" s="1"/>
  <c r="U7" i="5"/>
  <c r="U8" i="5" s="1"/>
  <c r="T3" i="13" s="1"/>
  <c r="U10" i="5"/>
  <c r="U11" i="5" s="1"/>
  <c r="T3" i="14" s="1"/>
  <c r="V7" i="5"/>
  <c r="V8" i="5" s="1"/>
  <c r="U3" i="13" s="1"/>
  <c r="V10" i="5"/>
  <c r="V11" i="5" s="1"/>
  <c r="U3" i="14" s="1"/>
  <c r="O31" i="5"/>
  <c r="O32" i="5" s="1"/>
  <c r="N5" i="13" s="1"/>
  <c r="P34" i="5"/>
  <c r="P35" i="5" s="1"/>
  <c r="O5" i="14" s="1"/>
  <c r="R31" i="5"/>
  <c r="R32" i="5" s="1"/>
  <c r="Q5" i="13" s="1"/>
  <c r="S31" i="5"/>
  <c r="S32" i="5" s="1"/>
  <c r="R5" i="13" s="1"/>
  <c r="R34" i="5"/>
  <c r="R35" i="5" s="1"/>
  <c r="Q5" i="14" s="1"/>
  <c r="K10" i="5"/>
  <c r="K11" i="5" s="1"/>
  <c r="J3" i="14" s="1"/>
  <c r="S34" i="5"/>
  <c r="S35" i="5" s="1"/>
  <c r="R5" i="14" s="1"/>
  <c r="L7" i="5"/>
  <c r="L8" i="5" s="1"/>
  <c r="K3" i="13" s="1"/>
  <c r="N20" i="5"/>
  <c r="T28" i="5"/>
  <c r="T29" i="5" s="1"/>
  <c r="S5" i="8" s="1"/>
  <c r="T34" i="5"/>
  <c r="T35" i="5" s="1"/>
  <c r="S5" i="14" s="1"/>
  <c r="Q10" i="5"/>
  <c r="Q11" i="5" s="1"/>
  <c r="P3" i="14" s="1"/>
  <c r="K28" i="5"/>
  <c r="K29" i="5" s="1"/>
  <c r="J5" i="8" s="1"/>
  <c r="K34" i="5"/>
  <c r="K35" i="5" s="1"/>
  <c r="J5" i="14" s="1"/>
  <c r="J11" i="4"/>
  <c r="K11" i="4" s="1"/>
  <c r="L28" i="5"/>
  <c r="L29" i="5" s="1"/>
  <c r="K5" i="8" s="1"/>
  <c r="L31" i="5"/>
  <c r="L32" i="5" s="1"/>
  <c r="K5" i="13" s="1"/>
  <c r="L34" i="5"/>
  <c r="L35" i="5" s="1"/>
  <c r="K5" i="14" s="1"/>
  <c r="M28" i="5"/>
  <c r="M29" i="5" s="1"/>
  <c r="L5" i="8" s="1"/>
  <c r="M31" i="5"/>
  <c r="M32" i="5" s="1"/>
  <c r="L5" i="13" s="1"/>
  <c r="M34" i="5"/>
  <c r="M35" i="5" s="1"/>
  <c r="L5" i="14" s="1"/>
  <c r="O34" i="5"/>
  <c r="O35" i="5" s="1"/>
  <c r="N5" i="14" s="1"/>
  <c r="P31" i="5"/>
  <c r="P32" i="5" s="1"/>
  <c r="O5" i="13" s="1"/>
  <c r="Q34" i="5"/>
  <c r="Q35" i="5" s="1"/>
  <c r="P5" i="14" s="1"/>
  <c r="Q31" i="5"/>
  <c r="Q32" i="5" s="1"/>
  <c r="P5" i="13" s="1"/>
  <c r="K31" i="5"/>
  <c r="K32" i="5" s="1"/>
  <c r="J5" i="13" s="1"/>
  <c r="E33" i="12"/>
  <c r="F10" i="12"/>
  <c r="E32" i="12"/>
  <c r="F24" i="12"/>
  <c r="U18" i="14"/>
  <c r="T18" i="13"/>
  <c r="F12" i="12"/>
  <c r="S18" i="13"/>
  <c r="R18" i="13"/>
  <c r="E35" i="12"/>
  <c r="F35" i="12" s="1"/>
  <c r="E36" i="12"/>
  <c r="F36" i="12" s="1"/>
  <c r="F19" i="12"/>
  <c r="F5" i="12"/>
  <c r="I5" i="12" s="1"/>
  <c r="I11" i="12" s="1"/>
  <c r="F30" i="12"/>
  <c r="E29" i="12"/>
  <c r="F29" i="12" s="1"/>
  <c r="I10" i="12"/>
  <c r="B17" i="8" s="1"/>
  <c r="D21" i="13"/>
  <c r="L22" i="13"/>
  <c r="E21" i="13"/>
  <c r="K22" i="13"/>
  <c r="G21" i="13"/>
  <c r="U24" i="13"/>
  <c r="H21" i="13"/>
  <c r="T24" i="13"/>
  <c r="U24" i="14"/>
  <c r="I21" i="13"/>
  <c r="R24" i="13"/>
  <c r="S24" i="14"/>
  <c r="F21" i="13"/>
  <c r="Q24" i="13"/>
  <c r="O22" i="14"/>
  <c r="R24" i="14"/>
  <c r="N22" i="13"/>
  <c r="P24" i="13"/>
  <c r="N22" i="14"/>
  <c r="Q24" i="14"/>
  <c r="O22" i="13"/>
  <c r="M22" i="13"/>
  <c r="J24" i="13"/>
  <c r="S24" i="13"/>
  <c r="L24" i="13"/>
  <c r="M22" i="14"/>
  <c r="P24" i="14"/>
  <c r="P22" i="13"/>
  <c r="L22" i="14"/>
  <c r="O24" i="14"/>
  <c r="C21" i="14"/>
  <c r="E21" i="14"/>
  <c r="F21" i="14"/>
  <c r="G21" i="14"/>
  <c r="D21" i="14"/>
  <c r="H21" i="14"/>
  <c r="B21" i="14"/>
  <c r="I21" i="14"/>
  <c r="Q19" i="14"/>
  <c r="S19" i="13"/>
  <c r="C19" i="8"/>
  <c r="P19" i="14"/>
  <c r="R19" i="13"/>
  <c r="D19" i="8"/>
  <c r="J19" i="8"/>
  <c r="K19" i="13"/>
  <c r="F19" i="14"/>
  <c r="H19" i="13"/>
  <c r="S19" i="14"/>
  <c r="S19" i="8"/>
  <c r="O19" i="14"/>
  <c r="Q19" i="13"/>
  <c r="E19" i="8"/>
  <c r="N19" i="14"/>
  <c r="P19" i="13"/>
  <c r="F19" i="8"/>
  <c r="L19" i="14"/>
  <c r="N19" i="13"/>
  <c r="K19" i="14"/>
  <c r="M19" i="13"/>
  <c r="I19" i="8"/>
  <c r="J19" i="14"/>
  <c r="L19" i="13"/>
  <c r="G19" i="14"/>
  <c r="M19" i="8"/>
  <c r="N19" i="8"/>
  <c r="O19" i="8"/>
  <c r="C19" i="14"/>
  <c r="Q19" i="8"/>
  <c r="B19" i="14"/>
  <c r="R19" i="8"/>
  <c r="U19" i="14"/>
  <c r="T19" i="8"/>
  <c r="U19" i="13"/>
  <c r="U19" i="8"/>
  <c r="M19" i="14"/>
  <c r="O19" i="13"/>
  <c r="G19" i="8"/>
  <c r="H19" i="8"/>
  <c r="I19" i="14"/>
  <c r="K19" i="8"/>
  <c r="H19" i="14"/>
  <c r="J19" i="13"/>
  <c r="L19" i="8"/>
  <c r="I19" i="13"/>
  <c r="E19" i="14"/>
  <c r="G19" i="13"/>
  <c r="D19" i="14"/>
  <c r="F19" i="13"/>
  <c r="P19" i="8"/>
  <c r="E19" i="13"/>
  <c r="D19" i="13"/>
  <c r="C19" i="13"/>
  <c r="T19" i="14"/>
  <c r="B19" i="13"/>
  <c r="R19" i="14"/>
  <c r="T19" i="13"/>
  <c r="B19" i="8"/>
  <c r="J22" i="14"/>
  <c r="J24" i="8"/>
  <c r="U24" i="8"/>
  <c r="O24" i="13"/>
  <c r="T22" i="14"/>
  <c r="L24" i="14"/>
  <c r="U22" i="14"/>
  <c r="M24" i="14"/>
  <c r="T24" i="8"/>
  <c r="J22" i="13"/>
  <c r="N24" i="13"/>
  <c r="S22" i="14"/>
  <c r="S24" i="8"/>
  <c r="U22" i="13"/>
  <c r="M24" i="13"/>
  <c r="R22" i="14"/>
  <c r="R24" i="8"/>
  <c r="T22" i="13"/>
  <c r="Q22" i="14"/>
  <c r="V22" i="8"/>
  <c r="F26" i="13"/>
  <c r="F6" i="6"/>
  <c r="E26" i="13" s="1"/>
  <c r="U18" i="13"/>
  <c r="T6" i="6"/>
  <c r="S26" i="13" s="1"/>
  <c r="P6" i="6"/>
  <c r="O26" i="13" s="1"/>
  <c r="K8" i="6"/>
  <c r="J26" i="14" s="1"/>
  <c r="M6" i="6"/>
  <c r="L26" i="13" s="1"/>
  <c r="I8" i="6"/>
  <c r="H26" i="14" s="1"/>
  <c r="L6" i="6"/>
  <c r="K26" i="13" s="1"/>
  <c r="H8" i="6"/>
  <c r="G26" i="14" s="1"/>
  <c r="O8" i="6"/>
  <c r="N26" i="14" s="1"/>
  <c r="M8" i="6"/>
  <c r="L26" i="14" s="1"/>
  <c r="N6" i="6"/>
  <c r="M26" i="13" s="1"/>
  <c r="G8" i="6"/>
  <c r="F26" i="14" s="1"/>
  <c r="J6" i="6"/>
  <c r="I26" i="13" s="1"/>
  <c r="F8" i="6"/>
  <c r="E26" i="14" s="1"/>
  <c r="P8" i="6"/>
  <c r="O26" i="14" s="1"/>
  <c r="N8" i="6"/>
  <c r="M26" i="14" s="1"/>
  <c r="L8" i="6"/>
  <c r="K26" i="14" s="1"/>
  <c r="J8" i="6"/>
  <c r="I26" i="14" s="1"/>
  <c r="K6" i="6"/>
  <c r="J26" i="13" s="1"/>
  <c r="I6" i="6"/>
  <c r="H26" i="13" s="1"/>
  <c r="E8" i="6"/>
  <c r="D26" i="14" s="1"/>
  <c r="U6" i="6"/>
  <c r="T26" i="13" s="1"/>
  <c r="R6" i="6"/>
  <c r="Q26" i="13" s="1"/>
  <c r="H6" i="6"/>
  <c r="G26" i="13" s="1"/>
  <c r="D8" i="6"/>
  <c r="C26" i="14" s="1"/>
  <c r="T4" i="6"/>
  <c r="S26" i="8" s="1"/>
  <c r="S4" i="6"/>
  <c r="R26" i="8" s="1"/>
  <c r="S6" i="6"/>
  <c r="R26" i="13" s="1"/>
  <c r="Q6" i="6"/>
  <c r="P26" i="13" s="1"/>
  <c r="O6" i="6"/>
  <c r="N26" i="13" s="1"/>
  <c r="V4" i="6"/>
  <c r="U26" i="8" s="1"/>
  <c r="U4" i="6"/>
  <c r="T26" i="8" s="1"/>
  <c r="C4" i="6"/>
  <c r="B26" i="8" s="1"/>
  <c r="R4" i="6"/>
  <c r="Q26" i="8" s="1"/>
  <c r="Q4" i="6"/>
  <c r="P26" i="8" s="1"/>
  <c r="P4" i="6"/>
  <c r="O26" i="8" s="1"/>
  <c r="O4" i="6"/>
  <c r="N26" i="8" s="1"/>
  <c r="F26" i="8"/>
  <c r="F4" i="6"/>
  <c r="E26" i="8" s="1"/>
  <c r="N4" i="6"/>
  <c r="M26" i="8" s="1"/>
  <c r="M4" i="6"/>
  <c r="L26" i="8" s="1"/>
  <c r="L4" i="6"/>
  <c r="K26" i="8" s="1"/>
  <c r="J4" i="6"/>
  <c r="I26" i="8" s="1"/>
  <c r="I4" i="6"/>
  <c r="H26" i="8" s="1"/>
  <c r="K4" i="6"/>
  <c r="J26" i="8" s="1"/>
  <c r="H4" i="6"/>
  <c r="G26" i="8" s="1"/>
  <c r="E4" i="6"/>
  <c r="D26" i="8" s="1"/>
  <c r="D4" i="6"/>
  <c r="C26" i="8" s="1"/>
  <c r="F31" i="12"/>
  <c r="F32" i="12"/>
  <c r="F16" i="12"/>
  <c r="I16" i="12" s="1"/>
  <c r="F11" i="12"/>
  <c r="F8" i="12"/>
  <c r="I39" i="6"/>
  <c r="H34" i="13" s="1"/>
  <c r="K39" i="6"/>
  <c r="J34" i="13" s="1"/>
  <c r="J39" i="6"/>
  <c r="I34" i="13" s="1"/>
  <c r="H39" i="6"/>
  <c r="G34" i="13" s="1"/>
  <c r="N41" i="6"/>
  <c r="M34" i="14" s="1"/>
  <c r="M41" i="6"/>
  <c r="L34" i="14" s="1"/>
  <c r="I15" i="6"/>
  <c r="H28" i="14" s="1"/>
  <c r="L41" i="6"/>
  <c r="K34" i="14" s="1"/>
  <c r="J41" i="6"/>
  <c r="I34" i="14" s="1"/>
  <c r="I41" i="6"/>
  <c r="H34" i="14" s="1"/>
  <c r="H41" i="6"/>
  <c r="G34" i="14" s="1"/>
  <c r="P37" i="6"/>
  <c r="O34" i="8" s="1"/>
  <c r="G41" i="6"/>
  <c r="F34" i="14" s="1"/>
  <c r="F41" i="6"/>
  <c r="E34" i="14" s="1"/>
  <c r="N37" i="6"/>
  <c r="M34" i="8" s="1"/>
  <c r="L37" i="6"/>
  <c r="K34" i="8" s="1"/>
  <c r="J37" i="6"/>
  <c r="I34" i="8" s="1"/>
  <c r="I37" i="6"/>
  <c r="H34" i="8" s="1"/>
  <c r="N39" i="6"/>
  <c r="M34" i="13" s="1"/>
  <c r="O37" i="6"/>
  <c r="N34" i="8" s="1"/>
  <c r="K37" i="6"/>
  <c r="J34" i="8" s="1"/>
  <c r="M39" i="6"/>
  <c r="L34" i="13" s="1"/>
  <c r="M37" i="6"/>
  <c r="L34" i="8" s="1"/>
  <c r="L39" i="6"/>
  <c r="K34" i="13" s="1"/>
  <c r="K41" i="6"/>
  <c r="J34" i="14" s="1"/>
  <c r="E41" i="6"/>
  <c r="D34" i="14" s="1"/>
  <c r="J27" i="6"/>
  <c r="F37" i="6"/>
  <c r="E34" i="8" s="1"/>
  <c r="E39" i="6"/>
  <c r="D34" i="13" s="1"/>
  <c r="D41" i="6"/>
  <c r="C34" i="14" s="1"/>
  <c r="K27" i="6"/>
  <c r="C41" i="6"/>
  <c r="B34" i="14" s="1"/>
  <c r="E37" i="6"/>
  <c r="D34" i="8" s="1"/>
  <c r="D39" i="6"/>
  <c r="C34" i="13" s="1"/>
  <c r="F32" i="6"/>
  <c r="E30" i="14" s="1"/>
  <c r="C39" i="6"/>
  <c r="B34" i="13" s="1"/>
  <c r="D37" i="6"/>
  <c r="C34" i="8" s="1"/>
  <c r="V41" i="6"/>
  <c r="U34" i="14" s="1"/>
  <c r="G39" i="6"/>
  <c r="F34" i="13" s="1"/>
  <c r="C37" i="6"/>
  <c r="B34" i="8" s="1"/>
  <c r="F39" i="6"/>
  <c r="E34" i="13" s="1"/>
  <c r="U41" i="6"/>
  <c r="T34" i="14" s="1"/>
  <c r="R33" i="6"/>
  <c r="Q31" i="14" s="1"/>
  <c r="V37" i="6"/>
  <c r="U34" i="8" s="1"/>
  <c r="U39" i="6"/>
  <c r="T34" i="13" s="1"/>
  <c r="U37" i="6"/>
  <c r="T34" i="8" s="1"/>
  <c r="S41" i="6"/>
  <c r="R34" i="14" s="1"/>
  <c r="T37" i="6"/>
  <c r="S34" i="8" s="1"/>
  <c r="S39" i="6"/>
  <c r="R34" i="13" s="1"/>
  <c r="R41" i="6"/>
  <c r="Q34" i="14" s="1"/>
  <c r="T39" i="6"/>
  <c r="S34" i="13" s="1"/>
  <c r="N13" i="6"/>
  <c r="M28" i="13" s="1"/>
  <c r="S37" i="6"/>
  <c r="R34" i="8" s="1"/>
  <c r="R39" i="6"/>
  <c r="Q34" i="13" s="1"/>
  <c r="Q41" i="6"/>
  <c r="P34" i="14" s="1"/>
  <c r="G37" i="6"/>
  <c r="F34" i="8" s="1"/>
  <c r="G32" i="6"/>
  <c r="F30" i="14" s="1"/>
  <c r="R37" i="6"/>
  <c r="Q34" i="8" s="1"/>
  <c r="Q39" i="6"/>
  <c r="P34" i="13" s="1"/>
  <c r="P41" i="6"/>
  <c r="O34" i="14" s="1"/>
  <c r="H37" i="6"/>
  <c r="G34" i="8" s="1"/>
  <c r="V39" i="6"/>
  <c r="U34" i="13" s="1"/>
  <c r="T41" i="6"/>
  <c r="S34" i="14" s="1"/>
  <c r="S33" i="6"/>
  <c r="R31" i="14" s="1"/>
  <c r="J15" i="6"/>
  <c r="I28" i="14" s="1"/>
  <c r="Q37" i="6"/>
  <c r="P34" i="8" s="1"/>
  <c r="P39" i="6"/>
  <c r="O41" i="6"/>
  <c r="N34" i="14" s="1"/>
  <c r="B21" i="8"/>
  <c r="L4" i="5"/>
  <c r="L5" i="5" s="1"/>
  <c r="K3" i="8" s="1"/>
  <c r="V4" i="5"/>
  <c r="V5" i="5" s="1"/>
  <c r="U3" i="8" s="1"/>
  <c r="S4" i="5"/>
  <c r="S5" i="5" s="1"/>
  <c r="R3" i="8" s="1"/>
  <c r="T4" i="5"/>
  <c r="T5" i="5" s="1"/>
  <c r="S3" i="8" s="1"/>
  <c r="U4" i="5"/>
  <c r="U5" i="5" s="1"/>
  <c r="K4" i="5"/>
  <c r="K5" i="5" s="1"/>
  <c r="M4" i="5"/>
  <c r="M5" i="5" s="1"/>
  <c r="L3" i="8" s="1"/>
  <c r="N4" i="5"/>
  <c r="N5" i="5" s="1"/>
  <c r="M3" i="8" s="1"/>
  <c r="O4" i="5"/>
  <c r="O5" i="5" s="1"/>
  <c r="N3" i="8" s="1"/>
  <c r="P4" i="5"/>
  <c r="P5" i="5" s="1"/>
  <c r="K20" i="5"/>
  <c r="N23" i="5"/>
  <c r="M4" i="14" s="1"/>
  <c r="R20" i="5"/>
  <c r="L23" i="5"/>
  <c r="S23" i="5"/>
  <c r="M17" i="5"/>
  <c r="L4" i="8" s="1"/>
  <c r="O17" i="5"/>
  <c r="N4" i="8" s="1"/>
  <c r="Q24" i="8"/>
  <c r="P24" i="8"/>
  <c r="N24" i="8"/>
  <c r="M24" i="8"/>
  <c r="K24" i="8"/>
  <c r="L24" i="8"/>
  <c r="I21" i="8"/>
  <c r="H21" i="8"/>
  <c r="G21" i="8"/>
  <c r="F21" i="8"/>
  <c r="P3" i="8"/>
  <c r="T33" i="6"/>
  <c r="S31" i="14" s="1"/>
  <c r="G22" i="6"/>
  <c r="F32" i="8" s="1"/>
  <c r="K13" i="6"/>
  <c r="J28" i="13" s="1"/>
  <c r="F34" i="6"/>
  <c r="E32" i="14" s="1"/>
  <c r="F15" i="6"/>
  <c r="E28" i="14" s="1"/>
  <c r="Q27" i="6"/>
  <c r="H20" i="6"/>
  <c r="G30" i="8" s="1"/>
  <c r="Q22" i="6"/>
  <c r="P32" i="8" s="1"/>
  <c r="R27" i="6"/>
  <c r="N32" i="6"/>
  <c r="M30" i="14" s="1"/>
  <c r="H34" i="6"/>
  <c r="G32" i="14" s="1"/>
  <c r="H13" i="6"/>
  <c r="G28" i="13" s="1"/>
  <c r="Q32" i="6"/>
  <c r="P30" i="14" s="1"/>
  <c r="G13" i="6"/>
  <c r="F28" i="13" s="1"/>
  <c r="J11" i="6"/>
  <c r="I28" i="8" s="1"/>
  <c r="L20" i="6"/>
  <c r="K30" i="8" s="1"/>
  <c r="D28" i="6"/>
  <c r="D33" i="6"/>
  <c r="C31" i="14" s="1"/>
  <c r="L34" i="6"/>
  <c r="K32" i="14" s="1"/>
  <c r="H11" i="6"/>
  <c r="G28" i="8" s="1"/>
  <c r="Q20" i="6"/>
  <c r="P30" i="8" s="1"/>
  <c r="J26" i="6"/>
  <c r="H28" i="6"/>
  <c r="E33" i="6"/>
  <c r="D31" i="14" s="1"/>
  <c r="M34" i="6"/>
  <c r="L32" i="14" s="1"/>
  <c r="G11" i="6"/>
  <c r="F28" i="8" s="1"/>
  <c r="V15" i="6"/>
  <c r="U28" i="14" s="1"/>
  <c r="F22" i="6"/>
  <c r="E32" i="8" s="1"/>
  <c r="M27" i="6"/>
  <c r="N27" i="6"/>
  <c r="I22" i="6"/>
  <c r="H32" i="8" s="1"/>
  <c r="U32" i="6"/>
  <c r="T30" i="14" s="1"/>
  <c r="F13" i="6"/>
  <c r="E28" i="13" s="1"/>
  <c r="K20" i="6"/>
  <c r="J30" i="8" s="1"/>
  <c r="I26" i="6"/>
  <c r="R20" i="6"/>
  <c r="Q30" i="8" s="1"/>
  <c r="K26" i="6"/>
  <c r="I28" i="6"/>
  <c r="F33" i="6"/>
  <c r="E31" i="14" s="1"/>
  <c r="N34" i="6"/>
  <c r="M32" i="14" s="1"/>
  <c r="F11" i="6"/>
  <c r="E28" i="8" s="1"/>
  <c r="U15" i="6"/>
  <c r="T28" i="14" s="1"/>
  <c r="E15" i="6"/>
  <c r="D28" i="14" s="1"/>
  <c r="F26" i="6"/>
  <c r="S20" i="6"/>
  <c r="R30" i="8" s="1"/>
  <c r="L26" i="6"/>
  <c r="Q28" i="6"/>
  <c r="G33" i="6"/>
  <c r="F31" i="14" s="1"/>
  <c r="Q34" i="6"/>
  <c r="P32" i="14" s="1"/>
  <c r="E11" i="6"/>
  <c r="D28" i="8" s="1"/>
  <c r="T15" i="6"/>
  <c r="S28" i="14" s="1"/>
  <c r="F21" i="6"/>
  <c r="E31" i="8" s="1"/>
  <c r="M26" i="6"/>
  <c r="R28" i="6"/>
  <c r="H33" i="6"/>
  <c r="G31" i="14" s="1"/>
  <c r="R34" i="6"/>
  <c r="Q32" i="14" s="1"/>
  <c r="D11" i="6"/>
  <c r="C28" i="8" s="1"/>
  <c r="P15" i="6"/>
  <c r="O28" i="14" s="1"/>
  <c r="M11" i="6"/>
  <c r="L28" i="8" s="1"/>
  <c r="Q21" i="6"/>
  <c r="P31" i="8" s="1"/>
  <c r="Q26" i="6"/>
  <c r="T28" i="6"/>
  <c r="J33" i="6"/>
  <c r="I31" i="14" s="1"/>
  <c r="N15" i="6"/>
  <c r="M28" i="14" s="1"/>
  <c r="E22" i="6"/>
  <c r="D32" i="8" s="1"/>
  <c r="M13" i="6"/>
  <c r="L28" i="13" s="1"/>
  <c r="H32" i="6"/>
  <c r="G30" i="14" s="1"/>
  <c r="I32" i="6"/>
  <c r="H30" i="14" s="1"/>
  <c r="G15" i="6"/>
  <c r="F28" i="14" s="1"/>
  <c r="F20" i="6"/>
  <c r="E30" i="8" s="1"/>
  <c r="N11" i="6"/>
  <c r="M28" i="8" s="1"/>
  <c r="I34" i="6"/>
  <c r="H32" i="14" s="1"/>
  <c r="J20" i="6"/>
  <c r="I30" i="8" s="1"/>
  <c r="C33" i="6"/>
  <c r="B31" i="14" s="1"/>
  <c r="E13" i="6"/>
  <c r="D28" i="13" s="1"/>
  <c r="L21" i="6"/>
  <c r="K31" i="8" s="1"/>
  <c r="S28" i="6"/>
  <c r="U34" i="6"/>
  <c r="T32" i="14" s="1"/>
  <c r="R21" i="6"/>
  <c r="Q31" i="8" s="1"/>
  <c r="R26" i="6"/>
  <c r="C32" i="6"/>
  <c r="B30" i="14" s="1"/>
  <c r="K33" i="6"/>
  <c r="J31" i="14" s="1"/>
  <c r="U13" i="6"/>
  <c r="T28" i="13" s="1"/>
  <c r="M15" i="6"/>
  <c r="L28" i="14" s="1"/>
  <c r="L13" i="6"/>
  <c r="K28" i="13" s="1"/>
  <c r="T11" i="6"/>
  <c r="S28" i="8" s="1"/>
  <c r="H22" i="6"/>
  <c r="G32" i="8" s="1"/>
  <c r="J13" i="6"/>
  <c r="I28" i="13" s="1"/>
  <c r="G34" i="6"/>
  <c r="F32" i="14" s="1"/>
  <c r="G26" i="6"/>
  <c r="J34" i="6"/>
  <c r="I32" i="14" s="1"/>
  <c r="H26" i="6"/>
  <c r="I11" i="6"/>
  <c r="H28" i="8" s="1"/>
  <c r="S21" i="6"/>
  <c r="R31" i="8" s="1"/>
  <c r="D27" i="6"/>
  <c r="D32" i="6"/>
  <c r="C30" i="14" s="1"/>
  <c r="L33" i="6"/>
  <c r="K31" i="14" s="1"/>
  <c r="T13" i="6"/>
  <c r="S28" i="13" s="1"/>
  <c r="L15" i="6"/>
  <c r="K28" i="14" s="1"/>
  <c r="D22" i="6"/>
  <c r="C32" i="8" s="1"/>
  <c r="L27" i="6"/>
  <c r="H15" i="6"/>
  <c r="G28" i="14" s="1"/>
  <c r="E20" i="6"/>
  <c r="D30" i="8" s="1"/>
  <c r="E34" i="6"/>
  <c r="D32" i="14" s="1"/>
  <c r="J32" i="6"/>
  <c r="I30" i="14" s="1"/>
  <c r="G20" i="6"/>
  <c r="F30" i="8" s="1"/>
  <c r="M32" i="6"/>
  <c r="L30" i="14" s="1"/>
  <c r="I13" i="6"/>
  <c r="H28" i="13" s="1"/>
  <c r="L11" i="6"/>
  <c r="K28" i="8" s="1"/>
  <c r="I20" i="6"/>
  <c r="H30" i="8" s="1"/>
  <c r="S27" i="6"/>
  <c r="K11" i="6"/>
  <c r="J28" i="8" s="1"/>
  <c r="T27" i="6"/>
  <c r="C28" i="6"/>
  <c r="K34" i="6"/>
  <c r="J32" i="14" s="1"/>
  <c r="N26" i="6"/>
  <c r="I33" i="6"/>
  <c r="H31" i="14" s="1"/>
  <c r="O15" i="6"/>
  <c r="N28" i="14" s="1"/>
  <c r="C22" i="6"/>
  <c r="B32" i="8" s="1"/>
  <c r="E27" i="6"/>
  <c r="E32" i="6"/>
  <c r="D30" i="14" s="1"/>
  <c r="M33" i="6"/>
  <c r="L31" i="14" s="1"/>
  <c r="O13" i="6"/>
  <c r="N28" i="13" s="1"/>
  <c r="K15" i="6"/>
  <c r="J28" i="14" s="1"/>
  <c r="C21" i="6"/>
  <c r="B31" i="8" s="1"/>
  <c r="J22" i="6"/>
  <c r="I32" i="8" s="1"/>
  <c r="S26" i="6"/>
  <c r="E28" i="6"/>
  <c r="V11" i="6"/>
  <c r="U28" i="8" s="1"/>
  <c r="D13" i="6"/>
  <c r="C28" i="13" s="1"/>
  <c r="D21" i="6"/>
  <c r="C31" i="8" s="1"/>
  <c r="K22" i="6"/>
  <c r="J32" i="8" s="1"/>
  <c r="T26" i="6"/>
  <c r="F28" i="6"/>
  <c r="K32" i="6"/>
  <c r="J30" i="14" s="1"/>
  <c r="N33" i="6"/>
  <c r="M31" i="14" s="1"/>
  <c r="S34" i="6"/>
  <c r="R32" i="14" s="1"/>
  <c r="C11" i="6"/>
  <c r="B28" i="8" s="1"/>
  <c r="C13" i="6"/>
  <c r="B28" i="13" s="1"/>
  <c r="D15" i="6"/>
  <c r="C28" i="14" s="1"/>
  <c r="E21" i="6"/>
  <c r="D31" i="8" s="1"/>
  <c r="L22" i="6"/>
  <c r="K32" i="8" s="1"/>
  <c r="C27" i="6"/>
  <c r="G28" i="6"/>
  <c r="L32" i="6"/>
  <c r="K30" i="14" s="1"/>
  <c r="Q33" i="6"/>
  <c r="P31" i="14" s="1"/>
  <c r="T34" i="6"/>
  <c r="S32" i="14" s="1"/>
  <c r="U11" i="6"/>
  <c r="T28" i="8" s="1"/>
  <c r="V13" i="6"/>
  <c r="U28" i="13" s="1"/>
  <c r="C15" i="6"/>
  <c r="B28" i="14" s="1"/>
  <c r="C20" i="6"/>
  <c r="B30" i="8" s="1"/>
  <c r="J21" i="6"/>
  <c r="I31" i="8" s="1"/>
  <c r="D26" i="6"/>
  <c r="H27" i="6"/>
  <c r="L28" i="6"/>
  <c r="C34" i="6"/>
  <c r="B32" i="14" s="1"/>
  <c r="P11" i="6"/>
  <c r="O28" i="8" s="1"/>
  <c r="Q13" i="6"/>
  <c r="P28" i="13" s="1"/>
  <c r="R15" i="6"/>
  <c r="Q28" i="14" s="1"/>
  <c r="G21" i="6"/>
  <c r="F31" i="8" s="1"/>
  <c r="R22" i="6"/>
  <c r="Q32" i="8" s="1"/>
  <c r="S11" i="6"/>
  <c r="R28" i="8" s="1"/>
  <c r="H21" i="6"/>
  <c r="G31" i="8" s="1"/>
  <c r="S22" i="6"/>
  <c r="R32" i="8" s="1"/>
  <c r="F27" i="6"/>
  <c r="J28" i="6"/>
  <c r="R11" i="6"/>
  <c r="Q28" i="8" s="1"/>
  <c r="S13" i="6"/>
  <c r="R28" i="13" s="1"/>
  <c r="I21" i="6"/>
  <c r="H31" i="8" s="1"/>
  <c r="C26" i="6"/>
  <c r="G27" i="6"/>
  <c r="K28" i="6"/>
  <c r="R32" i="6"/>
  <c r="Q30" i="14" s="1"/>
  <c r="U33" i="6"/>
  <c r="T31" i="14" s="1"/>
  <c r="Q11" i="6"/>
  <c r="P28" i="8" s="1"/>
  <c r="R13" i="6"/>
  <c r="Q28" i="13" s="1"/>
  <c r="S15" i="6"/>
  <c r="R28" i="14" s="1"/>
  <c r="S32" i="6"/>
  <c r="R30" i="14" s="1"/>
  <c r="D20" i="6"/>
  <c r="C30" i="8" s="1"/>
  <c r="K21" i="6"/>
  <c r="J31" i="8" s="1"/>
  <c r="E26" i="6"/>
  <c r="I27" i="6"/>
  <c r="M28" i="6"/>
  <c r="T32" i="6"/>
  <c r="S30" i="14" s="1"/>
  <c r="D34" i="6"/>
  <c r="C32" i="14" s="1"/>
  <c r="O11" i="6"/>
  <c r="N28" i="8" s="1"/>
  <c r="P13" i="6"/>
  <c r="O28" i="13" s="1"/>
  <c r="Q15" i="6"/>
  <c r="P28" i="14" s="1"/>
  <c r="M21" i="6"/>
  <c r="L31" i="8" s="1"/>
  <c r="M22" i="6"/>
  <c r="L32" i="8" s="1"/>
  <c r="N21" i="6"/>
  <c r="M31" i="8" s="1"/>
  <c r="O20" i="6"/>
  <c r="N30" i="8" s="1"/>
  <c r="O21" i="6"/>
  <c r="N31" i="8" s="1"/>
  <c r="O22" i="6"/>
  <c r="N32" i="8" s="1"/>
  <c r="O26" i="6"/>
  <c r="O27" i="6"/>
  <c r="O28" i="6"/>
  <c r="O32" i="6"/>
  <c r="N30" i="14" s="1"/>
  <c r="O33" i="6"/>
  <c r="N31" i="14" s="1"/>
  <c r="O34" i="6"/>
  <c r="N32" i="14" s="1"/>
  <c r="M20" i="6"/>
  <c r="L30" i="8" s="1"/>
  <c r="N20" i="6"/>
  <c r="M30" i="8" s="1"/>
  <c r="N22" i="6"/>
  <c r="M32" i="8" s="1"/>
  <c r="N28" i="6"/>
  <c r="P20" i="6"/>
  <c r="O30" i="8" s="1"/>
  <c r="P21" i="6"/>
  <c r="O31" i="8" s="1"/>
  <c r="P22" i="6"/>
  <c r="O32" i="8" s="1"/>
  <c r="P26" i="6"/>
  <c r="P27" i="6"/>
  <c r="P28" i="6"/>
  <c r="P32" i="6"/>
  <c r="O30" i="14" s="1"/>
  <c r="P33" i="6"/>
  <c r="O31" i="14" s="1"/>
  <c r="P34" i="6"/>
  <c r="O32" i="14" s="1"/>
  <c r="T20" i="6"/>
  <c r="S30" i="8" s="1"/>
  <c r="T21" i="6"/>
  <c r="S31" i="8" s="1"/>
  <c r="T22" i="6"/>
  <c r="S32" i="8" s="1"/>
  <c r="U20" i="6"/>
  <c r="T30" i="8" s="1"/>
  <c r="U21" i="6"/>
  <c r="T31" i="8" s="1"/>
  <c r="U22" i="6"/>
  <c r="T32" i="8" s="1"/>
  <c r="U26" i="6"/>
  <c r="U27" i="6"/>
  <c r="U28" i="6"/>
  <c r="V20" i="6"/>
  <c r="U30" i="8" s="1"/>
  <c r="V21" i="6"/>
  <c r="U31" i="8" s="1"/>
  <c r="V26" i="6"/>
  <c r="V27" i="6"/>
  <c r="V32" i="6"/>
  <c r="U30" i="14" s="1"/>
  <c r="V33" i="6"/>
  <c r="U31" i="14" s="1"/>
  <c r="J4" i="4"/>
  <c r="J5" i="4"/>
  <c r="J6" i="4"/>
  <c r="J7" i="4"/>
  <c r="K7" i="4" s="1"/>
  <c r="L31" i="4" s="1"/>
  <c r="J8" i="4"/>
  <c r="K8" i="4" s="1"/>
  <c r="J9" i="4"/>
  <c r="K9" i="4" s="1"/>
  <c r="J10" i="4"/>
  <c r="K10" i="4" s="1"/>
  <c r="V22" i="1" l="1" a="1"/>
  <c r="V22" i="1" s="1"/>
  <c r="V42" i="1" a="1"/>
  <c r="V42" i="1" s="1"/>
  <c r="W42" i="1" a="1"/>
  <c r="W42" i="1" s="1"/>
  <c r="Z42" i="1" a="1"/>
  <c r="Z42" i="1" s="1"/>
  <c r="X2" i="1" a="1"/>
  <c r="X2" i="1" s="1"/>
  <c r="Y2" i="1" a="1"/>
  <c r="Y2" i="1" s="1"/>
  <c r="AA2" i="1" a="1"/>
  <c r="AA2" i="1" s="1"/>
  <c r="Y42" i="1" a="1"/>
  <c r="Y42" i="1" s="1"/>
  <c r="V2" i="1" a="1"/>
  <c r="V2" i="1" s="1"/>
  <c r="X42" i="1" a="1"/>
  <c r="X42" i="1" s="1"/>
  <c r="W2" i="1" a="1"/>
  <c r="W2" i="1" s="1"/>
  <c r="W22" i="1" a="1"/>
  <c r="W22" i="1" s="1"/>
  <c r="Z2" i="1" a="1"/>
  <c r="Z2" i="1" s="1"/>
  <c r="AA42" i="1" a="1"/>
  <c r="AA42" i="1" s="1"/>
  <c r="S64" i="5"/>
  <c r="S65" i="5" s="1"/>
  <c r="R8" i="8" s="1"/>
  <c r="R11" i="8" s="1"/>
  <c r="M58" i="5"/>
  <c r="K46" i="5"/>
  <c r="K47" i="5" s="1"/>
  <c r="J6" i="14" s="1"/>
  <c r="J11" i="14" s="1"/>
  <c r="T64" i="5"/>
  <c r="T65" i="5" s="1"/>
  <c r="S8" i="8" s="1"/>
  <c r="U43" i="5"/>
  <c r="U44" i="5" s="1"/>
  <c r="T6" i="13" s="1"/>
  <c r="T11" i="13" s="1"/>
  <c r="K64" i="5"/>
  <c r="K65" i="5" s="1"/>
  <c r="J8" i="8" s="1"/>
  <c r="J11" i="8" s="1"/>
  <c r="K45" i="4"/>
  <c r="R55" i="5"/>
  <c r="R56" i="5" s="1"/>
  <c r="Q7" i="13" s="1"/>
  <c r="K43" i="4"/>
  <c r="V58" i="5"/>
  <c r="V59" i="5" s="1"/>
  <c r="U7" i="14" s="1"/>
  <c r="K44" i="4"/>
  <c r="V52" i="5"/>
  <c r="V53" i="5" s="1"/>
  <c r="U7" i="8" s="1"/>
  <c r="K42" i="4"/>
  <c r="N36" i="5"/>
  <c r="O46" i="5"/>
  <c r="O47" i="5" s="1"/>
  <c r="N6" i="14" s="1"/>
  <c r="K41" i="4"/>
  <c r="L46" i="5"/>
  <c r="L47" i="5" s="1"/>
  <c r="K6" i="14" s="1"/>
  <c r="M43" i="5"/>
  <c r="M44" i="5" s="1"/>
  <c r="L6" i="13" s="1"/>
  <c r="K40" i="4"/>
  <c r="O43" i="5"/>
  <c r="O44" i="5" s="1"/>
  <c r="N6" i="13" s="1"/>
  <c r="P46" i="5"/>
  <c r="P47" i="5" s="1"/>
  <c r="O6" i="14" s="1"/>
  <c r="O11" i="14" s="1"/>
  <c r="T43" i="5"/>
  <c r="T44" i="5" s="1"/>
  <c r="S6" i="13" s="1"/>
  <c r="S11" i="13" s="1"/>
  <c r="R43" i="5"/>
  <c r="R44" i="5" s="1"/>
  <c r="Q6" i="13" s="1"/>
  <c r="T52" i="5"/>
  <c r="T53" i="5" s="1"/>
  <c r="S7" i="8" s="1"/>
  <c r="Q46" i="5"/>
  <c r="Q47" i="5" s="1"/>
  <c r="P6" i="14" s="1"/>
  <c r="P11" i="14" s="1"/>
  <c r="O55" i="5"/>
  <c r="O56" i="5" s="1"/>
  <c r="N7" i="13" s="1"/>
  <c r="G67" i="5"/>
  <c r="G68" i="5" s="1"/>
  <c r="F8" i="13" s="1"/>
  <c r="K34" i="4"/>
  <c r="E64" i="5"/>
  <c r="E65" i="5" s="1"/>
  <c r="D8" i="8" s="1"/>
  <c r="M64" i="5"/>
  <c r="M65" i="5" s="1"/>
  <c r="S46" i="5"/>
  <c r="S47" i="5" s="1"/>
  <c r="R6" i="14" s="1"/>
  <c r="U64" i="5"/>
  <c r="U65" i="5" s="1"/>
  <c r="T8" i="8" s="1"/>
  <c r="T11" i="8" s="1"/>
  <c r="M59" i="5"/>
  <c r="L7" i="14" s="1"/>
  <c r="L11" i="14" s="1"/>
  <c r="V64" i="5"/>
  <c r="V65" i="5" s="1"/>
  <c r="V72" i="5" s="1"/>
  <c r="O52" i="5"/>
  <c r="O53" i="5" s="1"/>
  <c r="N7" i="8" s="1"/>
  <c r="T58" i="5"/>
  <c r="T59" i="5" s="1"/>
  <c r="S7" i="14" s="1"/>
  <c r="S11" i="14" s="1"/>
  <c r="Q52" i="5"/>
  <c r="Q53" i="5" s="1"/>
  <c r="P7" i="8" s="1"/>
  <c r="P11" i="8" s="1"/>
  <c r="U58" i="5"/>
  <c r="U59" i="5" s="1"/>
  <c r="T7" i="14" s="1"/>
  <c r="T11" i="14" s="1"/>
  <c r="I58" i="5"/>
  <c r="I59" i="5" s="1"/>
  <c r="H7" i="14" s="1"/>
  <c r="P52" i="5"/>
  <c r="P53" i="5" s="1"/>
  <c r="O7" i="8" s="1"/>
  <c r="O58" i="5"/>
  <c r="O59" i="5" s="1"/>
  <c r="N7" i="14" s="1"/>
  <c r="C67" i="5"/>
  <c r="C68" i="5" s="1"/>
  <c r="B8" i="13" s="1"/>
  <c r="V8" i="13" s="1"/>
  <c r="M55" i="5"/>
  <c r="M56" i="5" s="1"/>
  <c r="L7" i="13" s="1"/>
  <c r="L58" i="5"/>
  <c r="L59" i="5" s="1"/>
  <c r="K7" i="14" s="1"/>
  <c r="S58" i="5"/>
  <c r="S59" i="5" s="1"/>
  <c r="R7" i="14" s="1"/>
  <c r="H58" i="5"/>
  <c r="H59" i="5" s="1"/>
  <c r="G7" i="14" s="1"/>
  <c r="L55" i="5"/>
  <c r="L56" i="5" s="1"/>
  <c r="K7" i="13" s="1"/>
  <c r="K11" i="13" s="1"/>
  <c r="U42" i="14"/>
  <c r="V35" i="8"/>
  <c r="O34" i="13"/>
  <c r="AA22" i="1" s="1" a="1"/>
  <c r="AA22" i="1" s="1"/>
  <c r="U41" i="14"/>
  <c r="I24" i="12"/>
  <c r="F37" i="12"/>
  <c r="M10" i="8"/>
  <c r="M11" i="14"/>
  <c r="L72" i="5"/>
  <c r="Q11" i="14"/>
  <c r="M72" i="5"/>
  <c r="L8" i="8"/>
  <c r="R11" i="13"/>
  <c r="N60" i="5"/>
  <c r="M7" i="8"/>
  <c r="M11" i="8" s="1"/>
  <c r="U11" i="14"/>
  <c r="U13" i="14" s="1"/>
  <c r="S11" i="8"/>
  <c r="O60" i="5"/>
  <c r="K60" i="5"/>
  <c r="Q11" i="8"/>
  <c r="P72" i="5"/>
  <c r="O72" i="5"/>
  <c r="N6" i="8"/>
  <c r="O6" i="8"/>
  <c r="K6" i="8"/>
  <c r="K11" i="8" s="1"/>
  <c r="L6" i="8"/>
  <c r="V48" i="5"/>
  <c r="U6" i="8"/>
  <c r="C58" i="5"/>
  <c r="D58" i="5"/>
  <c r="D59" i="5" s="1"/>
  <c r="C7" i="14" s="1"/>
  <c r="U10" i="8"/>
  <c r="P10" i="8"/>
  <c r="N10" i="8"/>
  <c r="L10" i="8"/>
  <c r="Q10" i="8"/>
  <c r="K10" i="8"/>
  <c r="R10" i="8"/>
  <c r="S10" i="8"/>
  <c r="O11" i="13"/>
  <c r="Q72" i="5"/>
  <c r="S72" i="5"/>
  <c r="N72" i="5"/>
  <c r="G16" i="5"/>
  <c r="D16" i="5"/>
  <c r="D17" i="5" s="1"/>
  <c r="H16" i="5"/>
  <c r="H17" i="5" s="1"/>
  <c r="I16" i="5"/>
  <c r="I17" i="5" s="1"/>
  <c r="E16" i="5"/>
  <c r="J16" i="5"/>
  <c r="C16" i="5"/>
  <c r="C17" i="5" s="1"/>
  <c r="F16" i="5"/>
  <c r="K48" i="5"/>
  <c r="H46" i="5"/>
  <c r="H47" i="5" s="1"/>
  <c r="G6" i="14" s="1"/>
  <c r="D46" i="5"/>
  <c r="D47" i="5" s="1"/>
  <c r="C6" i="14" s="1"/>
  <c r="I46" i="5"/>
  <c r="I47" i="5" s="1"/>
  <c r="H6" i="14" s="1"/>
  <c r="J46" i="5"/>
  <c r="J47" i="5" s="1"/>
  <c r="I6" i="14" s="1"/>
  <c r="G46" i="5"/>
  <c r="G47" i="5" s="1"/>
  <c r="F6" i="14" s="1"/>
  <c r="F46" i="5"/>
  <c r="F47" i="5" s="1"/>
  <c r="E6" i="14" s="1"/>
  <c r="E46" i="5"/>
  <c r="E47" i="5" s="1"/>
  <c r="D6" i="14" s="1"/>
  <c r="C46" i="5"/>
  <c r="C47" i="5" s="1"/>
  <c r="B6" i="14" s="1"/>
  <c r="K72" i="5"/>
  <c r="G43" i="5"/>
  <c r="G44" i="5" s="1"/>
  <c r="F6" i="13" s="1"/>
  <c r="C43" i="5"/>
  <c r="C44" i="5" s="1"/>
  <c r="B6" i="13" s="1"/>
  <c r="D43" i="5"/>
  <c r="D44" i="5" s="1"/>
  <c r="C6" i="13" s="1"/>
  <c r="I43" i="5"/>
  <c r="I44" i="5" s="1"/>
  <c r="H6" i="13" s="1"/>
  <c r="E43" i="5"/>
  <c r="E44" i="5" s="1"/>
  <c r="D6" i="13" s="1"/>
  <c r="F43" i="5"/>
  <c r="F44" i="5" s="1"/>
  <c r="E6" i="13" s="1"/>
  <c r="H43" i="5"/>
  <c r="H44" i="5" s="1"/>
  <c r="G6" i="13" s="1"/>
  <c r="J43" i="5"/>
  <c r="J44" i="5" s="1"/>
  <c r="I6" i="13" s="1"/>
  <c r="L10" i="14"/>
  <c r="P10" i="14"/>
  <c r="E40" i="5"/>
  <c r="E41" i="5" s="1"/>
  <c r="D6" i="8" s="1"/>
  <c r="F40" i="5"/>
  <c r="F41" i="5" s="1"/>
  <c r="E6" i="8" s="1"/>
  <c r="I40" i="5"/>
  <c r="I41" i="5" s="1"/>
  <c r="H6" i="8" s="1"/>
  <c r="G40" i="5"/>
  <c r="G41" i="5" s="1"/>
  <c r="F6" i="8" s="1"/>
  <c r="H40" i="5"/>
  <c r="H41" i="5" s="1"/>
  <c r="J40" i="5"/>
  <c r="J41" i="5" s="1"/>
  <c r="I6" i="8" s="1"/>
  <c r="C40" i="5"/>
  <c r="C41" i="5" s="1"/>
  <c r="B6" i="8" s="1"/>
  <c r="D40" i="5"/>
  <c r="D41" i="5" s="1"/>
  <c r="C6" i="8" s="1"/>
  <c r="F70" i="5"/>
  <c r="F71" i="5" s="1"/>
  <c r="D70" i="5"/>
  <c r="D71" i="5" s="1"/>
  <c r="C8" i="14" s="1"/>
  <c r="E70" i="5"/>
  <c r="E71" i="5" s="1"/>
  <c r="C70" i="5"/>
  <c r="C71" i="5" s="1"/>
  <c r="G70" i="5"/>
  <c r="G71" i="5" s="1"/>
  <c r="F8" i="14" s="1"/>
  <c r="J70" i="5"/>
  <c r="J71" i="5" s="1"/>
  <c r="I8" i="14" s="1"/>
  <c r="H70" i="5"/>
  <c r="H71" i="5" s="1"/>
  <c r="G8" i="14" s="1"/>
  <c r="I70" i="5"/>
  <c r="I71" i="5" s="1"/>
  <c r="H8" i="14" s="1"/>
  <c r="G55" i="5"/>
  <c r="G56" i="5" s="1"/>
  <c r="F7" i="13" s="1"/>
  <c r="J55" i="5"/>
  <c r="J56" i="5" s="1"/>
  <c r="I7" i="13" s="1"/>
  <c r="F55" i="5"/>
  <c r="F56" i="5" s="1"/>
  <c r="E7" i="13" s="1"/>
  <c r="C55" i="5"/>
  <c r="C56" i="5" s="1"/>
  <c r="B7" i="13" s="1"/>
  <c r="H55" i="5"/>
  <c r="H56" i="5" s="1"/>
  <c r="G7" i="13" s="1"/>
  <c r="E55" i="5"/>
  <c r="E56" i="5" s="1"/>
  <c r="D7" i="13" s="1"/>
  <c r="I55" i="5"/>
  <c r="I56" i="5" s="1"/>
  <c r="H7" i="13" s="1"/>
  <c r="D55" i="5"/>
  <c r="D56" i="5" s="1"/>
  <c r="C7" i="13" s="1"/>
  <c r="N48" i="5"/>
  <c r="F22" i="5"/>
  <c r="F23" i="5" s="1"/>
  <c r="E4" i="14" s="1"/>
  <c r="D22" i="5"/>
  <c r="D23" i="5" s="1"/>
  <c r="C4" i="14" s="1"/>
  <c r="G22" i="5"/>
  <c r="G23" i="5" s="1"/>
  <c r="F4" i="14" s="1"/>
  <c r="J22" i="5"/>
  <c r="J23" i="5" s="1"/>
  <c r="I4" i="14" s="1"/>
  <c r="C22" i="5"/>
  <c r="C23" i="5" s="1"/>
  <c r="B4" i="14" s="1"/>
  <c r="H22" i="5"/>
  <c r="H23" i="5" s="1"/>
  <c r="G4" i="14" s="1"/>
  <c r="I22" i="5"/>
  <c r="I23" i="5" s="1"/>
  <c r="H4" i="14" s="1"/>
  <c r="E22" i="5"/>
  <c r="E23" i="5" s="1"/>
  <c r="D4" i="14" s="1"/>
  <c r="T72" i="5"/>
  <c r="U48" i="5"/>
  <c r="G52" i="5"/>
  <c r="G53" i="5" s="1"/>
  <c r="F7" i="8" s="1"/>
  <c r="I52" i="5"/>
  <c r="I53" i="5" s="1"/>
  <c r="H7" i="8" s="1"/>
  <c r="F52" i="5"/>
  <c r="F53" i="5" s="1"/>
  <c r="J52" i="5"/>
  <c r="J53" i="5" s="1"/>
  <c r="E52" i="5"/>
  <c r="E53" i="5" s="1"/>
  <c r="D52" i="5"/>
  <c r="D53" i="5" s="1"/>
  <c r="C52" i="5"/>
  <c r="C53" i="5" s="1"/>
  <c r="B7" i="8" s="1"/>
  <c r="H52" i="5"/>
  <c r="H53" i="5" s="1"/>
  <c r="G7" i="8" s="1"/>
  <c r="R72" i="5"/>
  <c r="F19" i="5"/>
  <c r="F20" i="5" s="1"/>
  <c r="G19" i="5"/>
  <c r="G20" i="5" s="1"/>
  <c r="J19" i="5"/>
  <c r="J20" i="5" s="1"/>
  <c r="D19" i="5"/>
  <c r="D20" i="5" s="1"/>
  <c r="E19" i="5"/>
  <c r="E20" i="5" s="1"/>
  <c r="H19" i="5"/>
  <c r="H20" i="5" s="1"/>
  <c r="I19" i="5"/>
  <c r="I20" i="5" s="1"/>
  <c r="C19" i="5"/>
  <c r="C20" i="5" s="1"/>
  <c r="B4" i="13" s="1"/>
  <c r="T10" i="14"/>
  <c r="M10" i="14"/>
  <c r="Q10" i="14"/>
  <c r="N10" i="14"/>
  <c r="O10" i="14"/>
  <c r="J10" i="14"/>
  <c r="S10" i="13"/>
  <c r="R10" i="13"/>
  <c r="T10" i="13"/>
  <c r="P4" i="13"/>
  <c r="P10" i="13" s="1"/>
  <c r="P11" i="13"/>
  <c r="M4" i="13"/>
  <c r="M10" i="13" s="1"/>
  <c r="M11" i="13"/>
  <c r="K4" i="13"/>
  <c r="K10" i="13" s="1"/>
  <c r="L4" i="13"/>
  <c r="L10" i="13" s="1"/>
  <c r="J4" i="13"/>
  <c r="J10" i="13" s="1"/>
  <c r="J11" i="13"/>
  <c r="U4" i="13"/>
  <c r="U10" i="13" s="1"/>
  <c r="U11" i="13"/>
  <c r="N4" i="13"/>
  <c r="N10" i="13" s="1"/>
  <c r="Q4" i="13"/>
  <c r="Q10" i="13" s="1"/>
  <c r="U36" i="5"/>
  <c r="K12" i="5"/>
  <c r="U12" i="5"/>
  <c r="V36" i="5"/>
  <c r="O36" i="5"/>
  <c r="R36" i="5"/>
  <c r="V12" i="5"/>
  <c r="V21" i="13"/>
  <c r="V22" i="13"/>
  <c r="J28" i="5"/>
  <c r="J29" i="5" s="1"/>
  <c r="I28" i="5"/>
  <c r="I29" i="5" s="1"/>
  <c r="H28" i="5"/>
  <c r="H29" i="5" s="1"/>
  <c r="G28" i="5"/>
  <c r="G29" i="5" s="1"/>
  <c r="E28" i="5"/>
  <c r="E29" i="5" s="1"/>
  <c r="F28" i="5"/>
  <c r="F29" i="5" s="1"/>
  <c r="D28" i="5"/>
  <c r="D29" i="5" s="1"/>
  <c r="C28" i="5"/>
  <c r="C29" i="5" s="1"/>
  <c r="K36" i="5"/>
  <c r="L36" i="5"/>
  <c r="O12" i="5"/>
  <c r="T36" i="5"/>
  <c r="E7" i="5"/>
  <c r="E8" i="5" s="1"/>
  <c r="D3" i="13" s="1"/>
  <c r="J7" i="5"/>
  <c r="J8" i="5" s="1"/>
  <c r="I3" i="13" s="1"/>
  <c r="H7" i="5"/>
  <c r="H8" i="5" s="1"/>
  <c r="G3" i="13" s="1"/>
  <c r="D7" i="5"/>
  <c r="D8" i="5" s="1"/>
  <c r="C3" i="13" s="1"/>
  <c r="C7" i="5"/>
  <c r="C8" i="5" s="1"/>
  <c r="B3" i="13" s="1"/>
  <c r="I7" i="5"/>
  <c r="I8" i="5" s="1"/>
  <c r="H3" i="13" s="1"/>
  <c r="G7" i="5"/>
  <c r="G8" i="5" s="1"/>
  <c r="F3" i="13" s="1"/>
  <c r="F7" i="5"/>
  <c r="F8" i="5" s="1"/>
  <c r="E3" i="13" s="1"/>
  <c r="P12" i="5"/>
  <c r="Q12" i="5"/>
  <c r="E4" i="5"/>
  <c r="E5" i="5" s="1"/>
  <c r="J4" i="5"/>
  <c r="J5" i="5" s="1"/>
  <c r="I4" i="5"/>
  <c r="I5" i="5" s="1"/>
  <c r="H4" i="5"/>
  <c r="H5" i="5" s="1"/>
  <c r="G4" i="5"/>
  <c r="G5" i="5" s="1"/>
  <c r="F4" i="5"/>
  <c r="F5" i="5" s="1"/>
  <c r="D4" i="5"/>
  <c r="D5" i="5" s="1"/>
  <c r="C4" i="5"/>
  <c r="C5" i="5" s="1"/>
  <c r="E31" i="5"/>
  <c r="E32" i="5" s="1"/>
  <c r="D5" i="13" s="1"/>
  <c r="J31" i="5"/>
  <c r="J32" i="5" s="1"/>
  <c r="I5" i="13" s="1"/>
  <c r="I31" i="5"/>
  <c r="I32" i="5" s="1"/>
  <c r="H5" i="13" s="1"/>
  <c r="H31" i="5"/>
  <c r="H32" i="5" s="1"/>
  <c r="G5" i="13" s="1"/>
  <c r="G31" i="5"/>
  <c r="G32" i="5" s="1"/>
  <c r="F5" i="13" s="1"/>
  <c r="F31" i="5"/>
  <c r="F32" i="5" s="1"/>
  <c r="E5" i="13" s="1"/>
  <c r="D31" i="5"/>
  <c r="D32" i="5" s="1"/>
  <c r="C5" i="13" s="1"/>
  <c r="C31" i="5"/>
  <c r="C32" i="5" s="1"/>
  <c r="B5" i="13" s="1"/>
  <c r="F10" i="5"/>
  <c r="F11" i="5" s="1"/>
  <c r="E3" i="14" s="1"/>
  <c r="I10" i="5"/>
  <c r="I11" i="5" s="1"/>
  <c r="H3" i="14" s="1"/>
  <c r="E10" i="5"/>
  <c r="E11" i="5" s="1"/>
  <c r="D3" i="14" s="1"/>
  <c r="D10" i="5"/>
  <c r="D11" i="5" s="1"/>
  <c r="C3" i="14" s="1"/>
  <c r="C10" i="5"/>
  <c r="C11" i="5" s="1"/>
  <c r="B3" i="14" s="1"/>
  <c r="J10" i="5"/>
  <c r="J11" i="5" s="1"/>
  <c r="I3" i="14" s="1"/>
  <c r="H10" i="5"/>
  <c r="H11" i="5" s="1"/>
  <c r="G3" i="14" s="1"/>
  <c r="G10" i="5"/>
  <c r="G11" i="5" s="1"/>
  <c r="F3" i="14" s="1"/>
  <c r="P36" i="5"/>
  <c r="R12" i="5"/>
  <c r="M36" i="5"/>
  <c r="J34" i="5"/>
  <c r="J35" i="5" s="1"/>
  <c r="I5" i="14" s="1"/>
  <c r="I34" i="5"/>
  <c r="I35" i="5" s="1"/>
  <c r="H5" i="14" s="1"/>
  <c r="H34" i="5"/>
  <c r="H35" i="5" s="1"/>
  <c r="G5" i="14" s="1"/>
  <c r="G34" i="5"/>
  <c r="G35" i="5" s="1"/>
  <c r="F5" i="14" s="1"/>
  <c r="E34" i="5"/>
  <c r="E35" i="5" s="1"/>
  <c r="D5" i="14" s="1"/>
  <c r="F34" i="5"/>
  <c r="F35" i="5" s="1"/>
  <c r="E5" i="14" s="1"/>
  <c r="D34" i="5"/>
  <c r="D35" i="5" s="1"/>
  <c r="C5" i="14" s="1"/>
  <c r="C34" i="5"/>
  <c r="C35" i="5" s="1"/>
  <c r="B5" i="14" s="1"/>
  <c r="S36" i="5"/>
  <c r="Q36" i="5"/>
  <c r="V36" i="8"/>
  <c r="P17" i="13"/>
  <c r="E17" i="13"/>
  <c r="I19" i="12"/>
  <c r="F33" i="12"/>
  <c r="T18" i="14"/>
  <c r="T41" i="14" s="1"/>
  <c r="S18" i="14"/>
  <c r="S41" i="14" s="1"/>
  <c r="R18" i="14"/>
  <c r="R41" i="14" s="1"/>
  <c r="C18" i="13"/>
  <c r="K17" i="13"/>
  <c r="L17" i="13"/>
  <c r="M17" i="13"/>
  <c r="B17" i="13"/>
  <c r="F17" i="13"/>
  <c r="G17" i="13"/>
  <c r="H17" i="13"/>
  <c r="D17" i="13"/>
  <c r="I30" i="12"/>
  <c r="I29" i="12"/>
  <c r="Q17" i="13"/>
  <c r="C17" i="13"/>
  <c r="I17" i="13"/>
  <c r="J17" i="13"/>
  <c r="N17" i="13"/>
  <c r="O17" i="13"/>
  <c r="E18" i="13"/>
  <c r="F18" i="13"/>
  <c r="G18" i="13"/>
  <c r="C17" i="8"/>
  <c r="N17" i="8"/>
  <c r="L17" i="8"/>
  <c r="S17" i="8"/>
  <c r="R17" i="8"/>
  <c r="I17" i="8"/>
  <c r="D17" i="8"/>
  <c r="P17" i="8"/>
  <c r="O17" i="8"/>
  <c r="K17" i="8"/>
  <c r="M17" i="8"/>
  <c r="J17" i="8"/>
  <c r="H17" i="8"/>
  <c r="F17" i="8"/>
  <c r="E17" i="8"/>
  <c r="T17" i="8"/>
  <c r="U17" i="8"/>
  <c r="G17" i="8"/>
  <c r="Q17" i="8"/>
  <c r="V24" i="13"/>
  <c r="V19" i="14"/>
  <c r="V24" i="14"/>
  <c r="V19" i="13"/>
  <c r="V22" i="14"/>
  <c r="V19" i="8"/>
  <c r="L12" i="5"/>
  <c r="P24" i="5"/>
  <c r="O4" i="13"/>
  <c r="O10" i="13" s="1"/>
  <c r="S24" i="5"/>
  <c r="R4" i="14"/>
  <c r="R10" i="14" s="1"/>
  <c r="R12" i="14" s="1"/>
  <c r="T24" i="5"/>
  <c r="S4" i="14"/>
  <c r="S10" i="14" s="1"/>
  <c r="V24" i="5"/>
  <c r="U4" i="14"/>
  <c r="U10" i="14" s="1"/>
  <c r="Q24" i="5"/>
  <c r="L24" i="5"/>
  <c r="K4" i="14"/>
  <c r="K10" i="14" s="1"/>
  <c r="V21" i="14"/>
  <c r="V28" i="13"/>
  <c r="V24" i="8"/>
  <c r="V21" i="8"/>
  <c r="B32" i="13"/>
  <c r="S31" i="13"/>
  <c r="T31" i="13"/>
  <c r="K31" i="13"/>
  <c r="T30" i="13"/>
  <c r="V28" i="14"/>
  <c r="J30" i="13"/>
  <c r="N31" i="13"/>
  <c r="M30" i="13"/>
  <c r="G31" i="13"/>
  <c r="Q32" i="13"/>
  <c r="J32" i="13"/>
  <c r="B30" i="13"/>
  <c r="M31" i="13"/>
  <c r="O31" i="13"/>
  <c r="V26" i="13"/>
  <c r="H32" i="13"/>
  <c r="C32" i="13"/>
  <c r="O30" i="13"/>
  <c r="D32" i="13"/>
  <c r="L31" i="13"/>
  <c r="Q31" i="13"/>
  <c r="P30" i="13"/>
  <c r="V32" i="8"/>
  <c r="F31" i="13"/>
  <c r="V30" i="8"/>
  <c r="F30" i="13"/>
  <c r="U31" i="13"/>
  <c r="I32" i="13"/>
  <c r="K30" i="13"/>
  <c r="D30" i="13"/>
  <c r="I30" i="13"/>
  <c r="D31" i="13"/>
  <c r="V28" i="8"/>
  <c r="N30" i="13"/>
  <c r="K32" i="13"/>
  <c r="C31" i="13"/>
  <c r="H30" i="13"/>
  <c r="E32" i="13"/>
  <c r="C30" i="13"/>
  <c r="S30" i="13"/>
  <c r="L30" i="13"/>
  <c r="G30" i="13"/>
  <c r="R31" i="13"/>
  <c r="O32" i="13"/>
  <c r="R30" i="13"/>
  <c r="P32" i="13"/>
  <c r="J31" i="13"/>
  <c r="U30" i="13"/>
  <c r="U41" i="13" s="1"/>
  <c r="E31" i="13"/>
  <c r="V31" i="8"/>
  <c r="P31" i="13"/>
  <c r="R32" i="13"/>
  <c r="M32" i="13"/>
  <c r="F32" i="13"/>
  <c r="E30" i="13"/>
  <c r="N32" i="13"/>
  <c r="Q30" i="13"/>
  <c r="L32" i="13"/>
  <c r="B31" i="13"/>
  <c r="I31" i="13"/>
  <c r="T32" i="13"/>
  <c r="H31" i="13"/>
  <c r="S32" i="13"/>
  <c r="G32" i="13"/>
  <c r="V26" i="14"/>
  <c r="I8" i="12"/>
  <c r="I12" i="12" s="1"/>
  <c r="T12" i="5"/>
  <c r="T3" i="8"/>
  <c r="T10" i="8" s="1"/>
  <c r="S12" i="5"/>
  <c r="J3" i="8"/>
  <c r="J10" i="8" s="1"/>
  <c r="N12" i="5"/>
  <c r="O3" i="8"/>
  <c r="O10" i="8" s="1"/>
  <c r="M12" i="5"/>
  <c r="O24" i="5"/>
  <c r="U24" i="5"/>
  <c r="R24" i="5"/>
  <c r="K24" i="5"/>
  <c r="M24" i="5"/>
  <c r="N24" i="5"/>
  <c r="E17" i="5"/>
  <c r="J17" i="5"/>
  <c r="G17" i="5"/>
  <c r="F17" i="5"/>
  <c r="N11" i="13" l="1"/>
  <c r="C41" i="13"/>
  <c r="S42" i="14"/>
  <c r="Y22" i="1" a="1"/>
  <c r="Y22" i="1" s="1"/>
  <c r="C42" i="13"/>
  <c r="X22" i="1" a="1"/>
  <c r="X22" i="1" s="1"/>
  <c r="Z22" i="1" a="1"/>
  <c r="Z22" i="1" s="1"/>
  <c r="R60" i="5"/>
  <c r="V60" i="5"/>
  <c r="K11" i="14"/>
  <c r="K13" i="14" s="1"/>
  <c r="L11" i="13"/>
  <c r="L39" i="13" s="1"/>
  <c r="Q11" i="13"/>
  <c r="Q39" i="13" s="1"/>
  <c r="Q44" i="13" s="1"/>
  <c r="Q48" i="13" s="1"/>
  <c r="L48" i="5"/>
  <c r="S48" i="5"/>
  <c r="N11" i="14"/>
  <c r="N39" i="14" s="1"/>
  <c r="M48" i="5"/>
  <c r="T48" i="5"/>
  <c r="O48" i="5"/>
  <c r="R11" i="14"/>
  <c r="R13" i="14" s="1"/>
  <c r="R48" i="5"/>
  <c r="T60" i="5"/>
  <c r="Q48" i="5"/>
  <c r="U8" i="8"/>
  <c r="V8" i="8" s="1"/>
  <c r="P48" i="5"/>
  <c r="H11" i="14"/>
  <c r="H39" i="14" s="1"/>
  <c r="L39" i="14"/>
  <c r="L13" i="14"/>
  <c r="T39" i="8"/>
  <c r="T13" i="8"/>
  <c r="M38" i="8"/>
  <c r="M12" i="8"/>
  <c r="L60" i="5"/>
  <c r="P39" i="8"/>
  <c r="P13" i="8"/>
  <c r="P39" i="14"/>
  <c r="P13" i="14"/>
  <c r="M60" i="5"/>
  <c r="S60" i="5"/>
  <c r="Q38" i="14"/>
  <c r="Q12" i="14"/>
  <c r="M38" i="14"/>
  <c r="M12" i="14"/>
  <c r="T38" i="14"/>
  <c r="T43" i="14" s="1"/>
  <c r="T12" i="14"/>
  <c r="U72" i="5"/>
  <c r="U60" i="5"/>
  <c r="O38" i="8"/>
  <c r="O12" i="8"/>
  <c r="Q60" i="5"/>
  <c r="Q39" i="14"/>
  <c r="Q13" i="14"/>
  <c r="U38" i="8"/>
  <c r="U12" i="8"/>
  <c r="T39" i="14"/>
  <c r="T44" i="14" s="1"/>
  <c r="T48" i="14" s="1"/>
  <c r="T13" i="14"/>
  <c r="V6" i="8"/>
  <c r="S39" i="8"/>
  <c r="S13" i="8"/>
  <c r="J38" i="14"/>
  <c r="J12" i="14"/>
  <c r="N38" i="14"/>
  <c r="N12" i="14"/>
  <c r="M39" i="8"/>
  <c r="M13" i="8"/>
  <c r="K39" i="8"/>
  <c r="K13" i="8"/>
  <c r="P38" i="14"/>
  <c r="P12" i="14"/>
  <c r="L38" i="14"/>
  <c r="L12" i="14"/>
  <c r="O11" i="8"/>
  <c r="K38" i="14"/>
  <c r="K12" i="14"/>
  <c r="J38" i="8"/>
  <c r="J12" i="8"/>
  <c r="U38" i="14"/>
  <c r="U43" i="14" s="1"/>
  <c r="U12" i="14"/>
  <c r="S38" i="8"/>
  <c r="S12" i="8"/>
  <c r="C59" i="5"/>
  <c r="B7" i="14" s="1"/>
  <c r="V7" i="14" s="1"/>
  <c r="O38" i="14"/>
  <c r="O12" i="14"/>
  <c r="R38" i="8"/>
  <c r="R12" i="8"/>
  <c r="T38" i="8"/>
  <c r="T12" i="8"/>
  <c r="S38" i="14"/>
  <c r="S43" i="14" s="1"/>
  <c r="S47" i="14" s="1"/>
  <c r="S12" i="14"/>
  <c r="K38" i="8"/>
  <c r="K12" i="8"/>
  <c r="J39" i="8"/>
  <c r="J13" i="8"/>
  <c r="S39" i="14"/>
  <c r="S44" i="14" s="1"/>
  <c r="S48" i="14" s="1"/>
  <c r="S13" i="14"/>
  <c r="Q38" i="8"/>
  <c r="Q12" i="8"/>
  <c r="Q39" i="8"/>
  <c r="Q13" i="8"/>
  <c r="M39" i="14"/>
  <c r="M13" i="14"/>
  <c r="L38" i="8"/>
  <c r="L12" i="8"/>
  <c r="R39" i="8"/>
  <c r="R13" i="8"/>
  <c r="O39" i="14"/>
  <c r="O13" i="14"/>
  <c r="N38" i="8"/>
  <c r="N12" i="8"/>
  <c r="P60" i="5"/>
  <c r="P38" i="8"/>
  <c r="P12" i="8"/>
  <c r="J39" i="14"/>
  <c r="J13" i="14"/>
  <c r="S38" i="13"/>
  <c r="S43" i="13" s="1"/>
  <c r="S12" i="13"/>
  <c r="N39" i="13"/>
  <c r="N44" i="13" s="1"/>
  <c r="N48" i="13" s="1"/>
  <c r="N13" i="13"/>
  <c r="J38" i="13"/>
  <c r="J12" i="13"/>
  <c r="S39" i="13"/>
  <c r="S44" i="13" s="1"/>
  <c r="S48" i="13" s="1"/>
  <c r="S13" i="13"/>
  <c r="R38" i="13"/>
  <c r="R43" i="13" s="1"/>
  <c r="R12" i="13"/>
  <c r="Q38" i="13"/>
  <c r="Q43" i="13" s="1"/>
  <c r="Q12" i="13"/>
  <c r="U39" i="13"/>
  <c r="U44" i="13" s="1"/>
  <c r="U48" i="13" s="1"/>
  <c r="U13" i="13"/>
  <c r="P38" i="13"/>
  <c r="P43" i="13" s="1"/>
  <c r="P12" i="13"/>
  <c r="T39" i="13"/>
  <c r="T44" i="13" s="1"/>
  <c r="T48" i="13" s="1"/>
  <c r="T13" i="13"/>
  <c r="R39" i="13"/>
  <c r="R44" i="13" s="1"/>
  <c r="R48" i="13" s="1"/>
  <c r="R13" i="13"/>
  <c r="U38" i="13"/>
  <c r="U43" i="13" s="1"/>
  <c r="U12" i="13"/>
  <c r="O39" i="13"/>
  <c r="O44" i="13" s="1"/>
  <c r="O48" i="13" s="1"/>
  <c r="O13" i="13"/>
  <c r="L38" i="13"/>
  <c r="L12" i="13"/>
  <c r="M39" i="13"/>
  <c r="M13" i="13"/>
  <c r="T38" i="13"/>
  <c r="T43" i="13" s="1"/>
  <c r="T12" i="13"/>
  <c r="N38" i="13"/>
  <c r="N43" i="13" s="1"/>
  <c r="N12" i="13"/>
  <c r="J39" i="13"/>
  <c r="J13" i="13"/>
  <c r="M38" i="13"/>
  <c r="M12" i="13"/>
  <c r="L13" i="13"/>
  <c r="K39" i="13"/>
  <c r="K13" i="13"/>
  <c r="K38" i="13"/>
  <c r="K12" i="13"/>
  <c r="O38" i="13"/>
  <c r="O43" i="13" s="1"/>
  <c r="O12" i="13"/>
  <c r="P39" i="13"/>
  <c r="P44" i="13" s="1"/>
  <c r="P48" i="13" s="1"/>
  <c r="P13" i="13"/>
  <c r="R42" i="14"/>
  <c r="T42" i="14"/>
  <c r="R38" i="14"/>
  <c r="R43" i="14" s="1"/>
  <c r="X10" i="14"/>
  <c r="N42" i="13"/>
  <c r="F42" i="13"/>
  <c r="E42" i="13"/>
  <c r="R42" i="13"/>
  <c r="P42" i="13"/>
  <c r="Q42" i="13"/>
  <c r="T42" i="13"/>
  <c r="G42" i="13"/>
  <c r="O42" i="13"/>
  <c r="S42" i="13"/>
  <c r="U42" i="13"/>
  <c r="V26" i="8"/>
  <c r="O41" i="13"/>
  <c r="Q41" i="13"/>
  <c r="N41" i="13"/>
  <c r="R41" i="13"/>
  <c r="P41" i="13"/>
  <c r="B10" i="13"/>
  <c r="G41" i="13"/>
  <c r="T41" i="13"/>
  <c r="S41" i="13"/>
  <c r="F41" i="13"/>
  <c r="E41" i="13"/>
  <c r="I11" i="14"/>
  <c r="U39" i="14"/>
  <c r="U44" i="14" s="1"/>
  <c r="U48" i="14" s="1"/>
  <c r="B10" i="14"/>
  <c r="L11" i="8"/>
  <c r="U11" i="8"/>
  <c r="N11" i="8"/>
  <c r="G11" i="14"/>
  <c r="F11" i="8"/>
  <c r="H11" i="8"/>
  <c r="E60" i="5"/>
  <c r="D7" i="8"/>
  <c r="D11" i="8" s="1"/>
  <c r="F60" i="5"/>
  <c r="E7" i="8"/>
  <c r="E11" i="8" s="1"/>
  <c r="J60" i="5"/>
  <c r="I7" i="8"/>
  <c r="I11" i="8" s="1"/>
  <c r="I72" i="5"/>
  <c r="D60" i="5"/>
  <c r="C7" i="8"/>
  <c r="B11" i="8"/>
  <c r="B39" i="8" s="1"/>
  <c r="H48" i="5"/>
  <c r="G6" i="8"/>
  <c r="G11" i="8" s="1"/>
  <c r="G60" i="5"/>
  <c r="C11" i="14"/>
  <c r="C13" i="14" s="1"/>
  <c r="F11" i="14"/>
  <c r="G48" i="5"/>
  <c r="I48" i="5"/>
  <c r="F48" i="5"/>
  <c r="B8" i="14"/>
  <c r="C72" i="5"/>
  <c r="D8" i="14"/>
  <c r="E72" i="5"/>
  <c r="D11" i="14"/>
  <c r="E48" i="5"/>
  <c r="V6" i="13"/>
  <c r="B11" i="13"/>
  <c r="B13" i="13" s="1"/>
  <c r="E8" i="14"/>
  <c r="E11" i="14" s="1"/>
  <c r="F72" i="5"/>
  <c r="C48" i="5"/>
  <c r="G72" i="5"/>
  <c r="I60" i="5"/>
  <c r="H10" i="14"/>
  <c r="H72" i="5"/>
  <c r="H60" i="5"/>
  <c r="D48" i="5"/>
  <c r="J72" i="5"/>
  <c r="J48" i="5"/>
  <c r="V6" i="14"/>
  <c r="D72" i="5"/>
  <c r="E10" i="14"/>
  <c r="F10" i="14"/>
  <c r="G10" i="14"/>
  <c r="I10" i="14"/>
  <c r="C10" i="14"/>
  <c r="D10" i="14"/>
  <c r="H4" i="13"/>
  <c r="H10" i="13" s="1"/>
  <c r="H11" i="13"/>
  <c r="D4" i="13"/>
  <c r="D10" i="13" s="1"/>
  <c r="F4" i="13"/>
  <c r="F10" i="13" s="1"/>
  <c r="F11" i="13"/>
  <c r="E4" i="13"/>
  <c r="E10" i="13" s="1"/>
  <c r="E11" i="13"/>
  <c r="G4" i="13"/>
  <c r="G10" i="13" s="1"/>
  <c r="G11" i="13"/>
  <c r="C4" i="13"/>
  <c r="C10" i="13" s="1"/>
  <c r="C11" i="13"/>
  <c r="I4" i="13"/>
  <c r="I10" i="13" s="1"/>
  <c r="I11" i="13"/>
  <c r="F3" i="8"/>
  <c r="G12" i="5"/>
  <c r="V3" i="14"/>
  <c r="I3" i="8"/>
  <c r="J12" i="5"/>
  <c r="C5" i="8"/>
  <c r="D36" i="5"/>
  <c r="G3" i="8"/>
  <c r="H12" i="5"/>
  <c r="H3" i="8"/>
  <c r="I12" i="5"/>
  <c r="E5" i="8"/>
  <c r="F36" i="5"/>
  <c r="F5" i="8"/>
  <c r="G36" i="5"/>
  <c r="G5" i="8"/>
  <c r="H36" i="5"/>
  <c r="B3" i="8"/>
  <c r="C12" i="5"/>
  <c r="D12" i="5"/>
  <c r="C3" i="8"/>
  <c r="E3" i="8"/>
  <c r="F12" i="5"/>
  <c r="B5" i="8"/>
  <c r="C36" i="5"/>
  <c r="D3" i="8"/>
  <c r="E12" i="5"/>
  <c r="D5" i="8"/>
  <c r="E36" i="5"/>
  <c r="H5" i="8"/>
  <c r="I36" i="5"/>
  <c r="V3" i="13"/>
  <c r="V5" i="14"/>
  <c r="V5" i="13"/>
  <c r="I5" i="8"/>
  <c r="J36" i="5"/>
  <c r="I18" i="13"/>
  <c r="I42" i="13" s="1"/>
  <c r="H18" i="13"/>
  <c r="H41" i="13" s="1"/>
  <c r="D18" i="13"/>
  <c r="D41" i="13" s="1"/>
  <c r="B18" i="13"/>
  <c r="V17" i="13"/>
  <c r="V17" i="8"/>
  <c r="K18" i="14"/>
  <c r="J18" i="14"/>
  <c r="L18" i="14"/>
  <c r="M18" i="14"/>
  <c r="F17" i="14"/>
  <c r="G17" i="14"/>
  <c r="H17" i="14"/>
  <c r="I17" i="14"/>
  <c r="J17" i="14"/>
  <c r="K17" i="14"/>
  <c r="L17" i="14"/>
  <c r="M17" i="14"/>
  <c r="P17" i="14"/>
  <c r="Q17" i="14"/>
  <c r="B17" i="14"/>
  <c r="D17" i="14"/>
  <c r="E17" i="14"/>
  <c r="N17" i="14"/>
  <c r="O17" i="14"/>
  <c r="C17" i="14"/>
  <c r="V4" i="14"/>
  <c r="V34" i="13"/>
  <c r="V32" i="14"/>
  <c r="V32" i="13"/>
  <c r="V31" i="14"/>
  <c r="V31" i="13"/>
  <c r="V34" i="14"/>
  <c r="V30" i="13"/>
  <c r="V34" i="8"/>
  <c r="V30" i="14"/>
  <c r="B18" i="8"/>
  <c r="H18" i="8"/>
  <c r="E18" i="8"/>
  <c r="D18" i="8"/>
  <c r="F18" i="8"/>
  <c r="G18" i="8"/>
  <c r="I18" i="8"/>
  <c r="C18" i="8"/>
  <c r="L18" i="8"/>
  <c r="Q18" i="8"/>
  <c r="M18" i="8"/>
  <c r="U18" i="8"/>
  <c r="N18" i="8"/>
  <c r="J18" i="8"/>
  <c r="O18" i="8"/>
  <c r="P18" i="8"/>
  <c r="R18" i="8"/>
  <c r="S18" i="8"/>
  <c r="T18" i="8"/>
  <c r="K18" i="8"/>
  <c r="E4" i="8"/>
  <c r="F24" i="5"/>
  <c r="F4" i="8"/>
  <c r="G24" i="5"/>
  <c r="H4" i="8"/>
  <c r="I24" i="5"/>
  <c r="B4" i="8"/>
  <c r="C24" i="5"/>
  <c r="D4" i="8"/>
  <c r="E24" i="5"/>
  <c r="G4" i="8"/>
  <c r="H24" i="5"/>
  <c r="I4" i="8"/>
  <c r="J24" i="5"/>
  <c r="D24" i="5"/>
  <c r="C4" i="8"/>
  <c r="B41" i="8" l="1"/>
  <c r="B44" i="8"/>
  <c r="B48" i="8" s="1"/>
  <c r="K39" i="14"/>
  <c r="Q13" i="13"/>
  <c r="Q50" i="13" s="1"/>
  <c r="C42" i="8"/>
  <c r="C41" i="8"/>
  <c r="G41" i="8"/>
  <c r="G42" i="8"/>
  <c r="F42" i="8"/>
  <c r="F41" i="8"/>
  <c r="E42" i="8"/>
  <c r="E41" i="8"/>
  <c r="I41" i="8"/>
  <c r="I42" i="8"/>
  <c r="D42" i="8"/>
  <c r="D41" i="8"/>
  <c r="H41" i="8"/>
  <c r="H42" i="8"/>
  <c r="U2" i="1" a="1"/>
  <c r="U2" i="1" s="1"/>
  <c r="B42" i="8"/>
  <c r="K41" i="8"/>
  <c r="K42" i="8"/>
  <c r="T41" i="8"/>
  <c r="T42" i="8"/>
  <c r="L41" i="8"/>
  <c r="L42" i="8"/>
  <c r="S42" i="8"/>
  <c r="S41" i="8"/>
  <c r="Q42" i="8"/>
  <c r="Q41" i="8"/>
  <c r="P42" i="8"/>
  <c r="P41" i="8"/>
  <c r="J42" i="8"/>
  <c r="J41" i="8"/>
  <c r="M42" i="8"/>
  <c r="M41" i="8"/>
  <c r="R42" i="8"/>
  <c r="R41" i="8"/>
  <c r="O41" i="8"/>
  <c r="O42" i="8"/>
  <c r="N41" i="8"/>
  <c r="N42" i="8"/>
  <c r="U41" i="8"/>
  <c r="U42" i="8"/>
  <c r="O49" i="13"/>
  <c r="U49" i="14"/>
  <c r="U50" i="13"/>
  <c r="C60" i="5"/>
  <c r="V7" i="8"/>
  <c r="H13" i="14"/>
  <c r="V3" i="8"/>
  <c r="P49" i="13"/>
  <c r="X11" i="14"/>
  <c r="N13" i="14"/>
  <c r="R39" i="14"/>
  <c r="R44" i="14" s="1"/>
  <c r="R48" i="14" s="1"/>
  <c r="T49" i="13"/>
  <c r="K44" i="8"/>
  <c r="K50" i="8" s="1"/>
  <c r="R50" i="13"/>
  <c r="R43" i="8"/>
  <c r="R49" i="8" s="1"/>
  <c r="R47" i="14"/>
  <c r="R49" i="14"/>
  <c r="N39" i="8"/>
  <c r="N13" i="8"/>
  <c r="S50" i="14"/>
  <c r="L39" i="8"/>
  <c r="L44" i="8" s="1"/>
  <c r="L48" i="8" s="1"/>
  <c r="L13" i="8"/>
  <c r="G39" i="8"/>
  <c r="G44" i="8" s="1"/>
  <c r="G48" i="8" s="1"/>
  <c r="G13" i="8"/>
  <c r="T44" i="8"/>
  <c r="T48" i="8" s="1"/>
  <c r="Q49" i="13"/>
  <c r="E39" i="14"/>
  <c r="E13" i="14"/>
  <c r="D38" i="14"/>
  <c r="D12" i="14"/>
  <c r="I39" i="8"/>
  <c r="I44" i="8" s="1"/>
  <c r="I48" i="8" s="1"/>
  <c r="I13" i="8"/>
  <c r="B38" i="14"/>
  <c r="B12" i="14"/>
  <c r="V10" i="14"/>
  <c r="R49" i="13"/>
  <c r="C38" i="14"/>
  <c r="C12" i="14"/>
  <c r="I38" i="14"/>
  <c r="I12" i="14"/>
  <c r="E39" i="8"/>
  <c r="E44" i="8" s="1"/>
  <c r="E48" i="8" s="1"/>
  <c r="E13" i="8"/>
  <c r="P50" i="13"/>
  <c r="S50" i="13"/>
  <c r="E38" i="14"/>
  <c r="E12" i="14"/>
  <c r="I39" i="14"/>
  <c r="I13" i="14"/>
  <c r="H39" i="8"/>
  <c r="H44" i="8" s="1"/>
  <c r="H48" i="8" s="1"/>
  <c r="H13" i="8"/>
  <c r="O50" i="13"/>
  <c r="B11" i="14"/>
  <c r="V11" i="14" s="1"/>
  <c r="U39" i="8"/>
  <c r="U44" i="8" s="1"/>
  <c r="U48" i="8" s="1"/>
  <c r="U13" i="8"/>
  <c r="F39" i="14"/>
  <c r="F13" i="14"/>
  <c r="T50" i="13"/>
  <c r="H38" i="14"/>
  <c r="H12" i="14"/>
  <c r="T50" i="14"/>
  <c r="B13" i="8"/>
  <c r="N49" i="13"/>
  <c r="S49" i="14"/>
  <c r="S44" i="8"/>
  <c r="S50" i="8" s="1"/>
  <c r="O39" i="8"/>
  <c r="O44" i="8" s="1"/>
  <c r="O48" i="8" s="1"/>
  <c r="O13" i="8"/>
  <c r="V5" i="8"/>
  <c r="G38" i="14"/>
  <c r="G12" i="14"/>
  <c r="D39" i="14"/>
  <c r="D13" i="14"/>
  <c r="F38" i="14"/>
  <c r="F12" i="14"/>
  <c r="D39" i="8"/>
  <c r="D44" i="8" s="1"/>
  <c r="D48" i="8" s="1"/>
  <c r="D13" i="8"/>
  <c r="T49" i="14"/>
  <c r="N50" i="13"/>
  <c r="U50" i="14"/>
  <c r="F39" i="8"/>
  <c r="F44" i="8" s="1"/>
  <c r="F48" i="8" s="1"/>
  <c r="F13" i="8"/>
  <c r="V4" i="8"/>
  <c r="G39" i="14"/>
  <c r="G13" i="14"/>
  <c r="U49" i="13"/>
  <c r="S49" i="13"/>
  <c r="B39" i="13"/>
  <c r="B44" i="13" s="1"/>
  <c r="C38" i="13"/>
  <c r="C43" i="13" s="1"/>
  <c r="C47" i="13" s="1"/>
  <c r="C52" i="13" s="1"/>
  <c r="C12" i="13"/>
  <c r="C49" i="13" s="1"/>
  <c r="G39" i="13"/>
  <c r="G44" i="13" s="1"/>
  <c r="G48" i="13" s="1"/>
  <c r="G13" i="13"/>
  <c r="G38" i="13"/>
  <c r="G43" i="13" s="1"/>
  <c r="G47" i="13" s="1"/>
  <c r="G52" i="13" s="1"/>
  <c r="G12" i="13"/>
  <c r="G49" i="13" s="1"/>
  <c r="C39" i="13"/>
  <c r="C44" i="13" s="1"/>
  <c r="C48" i="13" s="1"/>
  <c r="C13" i="13"/>
  <c r="F39" i="13"/>
  <c r="F44" i="13" s="1"/>
  <c r="F48" i="13" s="1"/>
  <c r="F13" i="13"/>
  <c r="I39" i="13"/>
  <c r="I44" i="13" s="1"/>
  <c r="I48" i="13" s="1"/>
  <c r="I13" i="13"/>
  <c r="F38" i="13"/>
  <c r="F43" i="13" s="1"/>
  <c r="F47" i="13" s="1"/>
  <c r="F52" i="13" s="1"/>
  <c r="F12" i="13"/>
  <c r="B38" i="13"/>
  <c r="V10" i="13"/>
  <c r="B12" i="13"/>
  <c r="I38" i="13"/>
  <c r="I43" i="13" s="1"/>
  <c r="I47" i="13" s="1"/>
  <c r="I52" i="13" s="1"/>
  <c r="I12" i="13"/>
  <c r="E39" i="13"/>
  <c r="E44" i="13" s="1"/>
  <c r="E48" i="13" s="1"/>
  <c r="E13" i="13"/>
  <c r="E50" i="13" s="1"/>
  <c r="H38" i="13"/>
  <c r="H43" i="13" s="1"/>
  <c r="H47" i="13" s="1"/>
  <c r="H52" i="13" s="1"/>
  <c r="H12" i="13"/>
  <c r="E38" i="13"/>
  <c r="E43" i="13" s="1"/>
  <c r="E47" i="13" s="1"/>
  <c r="E52" i="13" s="1"/>
  <c r="E12" i="13"/>
  <c r="D38" i="13"/>
  <c r="D43" i="13" s="1"/>
  <c r="D47" i="13" s="1"/>
  <c r="D52" i="13" s="1"/>
  <c r="D12" i="13"/>
  <c r="H39" i="13"/>
  <c r="H44" i="13" s="1"/>
  <c r="H48" i="13" s="1"/>
  <c r="H13" i="13"/>
  <c r="K41" i="14"/>
  <c r="K42" i="14"/>
  <c r="L41" i="14"/>
  <c r="L42" i="14"/>
  <c r="M41" i="14"/>
  <c r="M42" i="14"/>
  <c r="C39" i="14"/>
  <c r="J41" i="14"/>
  <c r="J42" i="14"/>
  <c r="D42" i="13"/>
  <c r="H42" i="13"/>
  <c r="B42" i="13"/>
  <c r="B41" i="13"/>
  <c r="K43" i="8"/>
  <c r="K49" i="8" s="1"/>
  <c r="T43" i="8"/>
  <c r="T49" i="8" s="1"/>
  <c r="R44" i="8"/>
  <c r="R50" i="8" s="1"/>
  <c r="J43" i="8"/>
  <c r="J49" i="8" s="1"/>
  <c r="J44" i="8"/>
  <c r="J50" i="8" s="1"/>
  <c r="N44" i="8"/>
  <c r="N48" i="8" s="1"/>
  <c r="N43" i="8"/>
  <c r="N49" i="8" s="1"/>
  <c r="O43" i="8"/>
  <c r="O49" i="8" s="1"/>
  <c r="I41" i="13"/>
  <c r="N18" i="14"/>
  <c r="N43" i="14" s="1"/>
  <c r="N47" i="14" s="1"/>
  <c r="O18" i="14"/>
  <c r="P18" i="14"/>
  <c r="Q18" i="14"/>
  <c r="D18" i="14"/>
  <c r="E18" i="14"/>
  <c r="G18" i="14"/>
  <c r="B18" i="14"/>
  <c r="B41" i="14" s="1"/>
  <c r="C18" i="14"/>
  <c r="I18" i="14"/>
  <c r="F18" i="14"/>
  <c r="H18" i="14"/>
  <c r="L43" i="14"/>
  <c r="L47" i="14" s="1"/>
  <c r="L44" i="14"/>
  <c r="L48" i="14" s="1"/>
  <c r="M44" i="14"/>
  <c r="M48" i="14" s="1"/>
  <c r="M43" i="14"/>
  <c r="M47" i="14" s="1"/>
  <c r="J43" i="14"/>
  <c r="J47" i="14" s="1"/>
  <c r="J44" i="14"/>
  <c r="J50" i="14" s="1"/>
  <c r="K43" i="14"/>
  <c r="K47" i="14" s="1"/>
  <c r="K44" i="14"/>
  <c r="K48" i="14" s="1"/>
  <c r="U43" i="8"/>
  <c r="U49" i="8" s="1"/>
  <c r="Q44" i="8"/>
  <c r="Q48" i="8" s="1"/>
  <c r="Q43" i="8"/>
  <c r="Q49" i="8" s="1"/>
  <c r="P43" i="8"/>
  <c r="P49" i="8" s="1"/>
  <c r="M43" i="8"/>
  <c r="M49" i="8" s="1"/>
  <c r="L43" i="8"/>
  <c r="L49" i="8" s="1"/>
  <c r="S43" i="8"/>
  <c r="S49" i="8" s="1"/>
  <c r="M44" i="8"/>
  <c r="M48" i="8" s="1"/>
  <c r="P44" i="8"/>
  <c r="P48" i="8" s="1"/>
  <c r="C11" i="8"/>
  <c r="S48" i="8"/>
  <c r="I10" i="8"/>
  <c r="H10" i="8"/>
  <c r="C10" i="8"/>
  <c r="G10" i="8"/>
  <c r="D10" i="8"/>
  <c r="E10" i="8"/>
  <c r="B10" i="8"/>
  <c r="F10" i="8"/>
  <c r="V8" i="14"/>
  <c r="V4" i="13"/>
  <c r="V7" i="13"/>
  <c r="D11" i="13"/>
  <c r="D13" i="13" s="1"/>
  <c r="N42" i="1" a="1"/>
  <c r="N42" i="1" s="1"/>
  <c r="N22" i="1" a="1"/>
  <c r="N22" i="1" s="1"/>
  <c r="L18" i="13"/>
  <c r="L42" i="13" s="1"/>
  <c r="J18" i="13"/>
  <c r="J42" i="13" s="1"/>
  <c r="M18" i="13"/>
  <c r="M42" i="13" s="1"/>
  <c r="K18" i="13"/>
  <c r="K42" i="13" s="1"/>
  <c r="V17" i="14"/>
  <c r="T47" i="14"/>
  <c r="U47" i="14"/>
  <c r="V18" i="8"/>
  <c r="B38" i="8" l="1"/>
  <c r="B43" i="8" s="1"/>
  <c r="B15" i="8"/>
  <c r="N44" i="14"/>
  <c r="N48" i="14" s="1"/>
  <c r="O42" i="1" a="1"/>
  <c r="O42" i="1" s="1"/>
  <c r="U42" i="1" a="1"/>
  <c r="U42" i="1" s="1"/>
  <c r="B42" i="14"/>
  <c r="U22" i="1" a="1"/>
  <c r="U22" i="1" s="1"/>
  <c r="T2" i="1" a="1"/>
  <c r="T2" i="1" s="1"/>
  <c r="H49" i="13"/>
  <c r="K48" i="8"/>
  <c r="J48" i="8"/>
  <c r="M50" i="14"/>
  <c r="E49" i="13"/>
  <c r="H50" i="13"/>
  <c r="I50" i="13"/>
  <c r="I49" i="13"/>
  <c r="C50" i="13"/>
  <c r="R50" i="14"/>
  <c r="K50" i="14"/>
  <c r="K49" i="14"/>
  <c r="J49" i="14"/>
  <c r="M50" i="8"/>
  <c r="N50" i="8"/>
  <c r="L50" i="14"/>
  <c r="F50" i="13"/>
  <c r="F49" i="13"/>
  <c r="D49" i="13"/>
  <c r="V38" i="14"/>
  <c r="D50" i="8"/>
  <c r="E43" i="14"/>
  <c r="E47" i="14" s="1"/>
  <c r="G38" i="8"/>
  <c r="G43" i="8" s="1"/>
  <c r="G47" i="8" s="1"/>
  <c r="G12" i="8"/>
  <c r="H50" i="8"/>
  <c r="D38" i="8"/>
  <c r="D43" i="8" s="1"/>
  <c r="D47" i="8" s="1"/>
  <c r="D12" i="8"/>
  <c r="V12" i="13"/>
  <c r="P22" i="1" a="1"/>
  <c r="P22" i="1" s="1"/>
  <c r="I38" i="8"/>
  <c r="I43" i="8" s="1"/>
  <c r="I47" i="8" s="1"/>
  <c r="I12" i="8"/>
  <c r="T50" i="8"/>
  <c r="C39" i="8"/>
  <c r="C44" i="8" s="1"/>
  <c r="S2" i="1" s="1" a="1"/>
  <c r="S2" i="1" s="1"/>
  <c r="C13" i="8"/>
  <c r="G50" i="8"/>
  <c r="N49" i="14"/>
  <c r="P42" i="1" a="1"/>
  <c r="P42" i="1" s="1"/>
  <c r="V12" i="14"/>
  <c r="F50" i="8"/>
  <c r="R48" i="8"/>
  <c r="I50" i="8"/>
  <c r="O50" i="8"/>
  <c r="N50" i="14"/>
  <c r="Q50" i="8"/>
  <c r="F38" i="8"/>
  <c r="F43" i="8" s="1"/>
  <c r="F47" i="8" s="1"/>
  <c r="F12" i="8"/>
  <c r="L50" i="8"/>
  <c r="V10" i="8"/>
  <c r="B12" i="8"/>
  <c r="L49" i="14"/>
  <c r="E38" i="8"/>
  <c r="E43" i="8" s="1"/>
  <c r="E47" i="8" s="1"/>
  <c r="E12" i="8"/>
  <c r="G50" i="13"/>
  <c r="U50" i="8"/>
  <c r="E50" i="8"/>
  <c r="C38" i="8"/>
  <c r="C43" i="8" s="1"/>
  <c r="C47" i="8" s="1"/>
  <c r="C12" i="8"/>
  <c r="C49" i="8" s="1"/>
  <c r="B50" i="8"/>
  <c r="H38" i="8"/>
  <c r="H43" i="8" s="1"/>
  <c r="H47" i="8" s="1"/>
  <c r="H12" i="8"/>
  <c r="Q22" i="1" a="1"/>
  <c r="Q22" i="1" s="1"/>
  <c r="B50" i="13"/>
  <c r="O2" i="1" a="1"/>
  <c r="O2" i="1" s="1"/>
  <c r="M49" i="14"/>
  <c r="V11" i="8"/>
  <c r="B39" i="14"/>
  <c r="V39" i="14" s="1"/>
  <c r="B13" i="14"/>
  <c r="P50" i="8"/>
  <c r="V38" i="13"/>
  <c r="B43" i="13"/>
  <c r="B47" i="13" s="1"/>
  <c r="B52" i="13" s="1"/>
  <c r="V13" i="13"/>
  <c r="V11" i="13"/>
  <c r="Q41" i="14"/>
  <c r="Q42" i="14"/>
  <c r="O41" i="14"/>
  <c r="O42" i="14"/>
  <c r="E41" i="14"/>
  <c r="E42" i="14"/>
  <c r="H41" i="14"/>
  <c r="H42" i="14"/>
  <c r="P41" i="14"/>
  <c r="P42" i="14"/>
  <c r="I41" i="14"/>
  <c r="I42" i="14"/>
  <c r="G41" i="14"/>
  <c r="G42" i="14"/>
  <c r="D41" i="14"/>
  <c r="D42" i="14"/>
  <c r="O44" i="14"/>
  <c r="N41" i="14"/>
  <c r="N42" i="14"/>
  <c r="F41" i="14"/>
  <c r="F42" i="14"/>
  <c r="C41" i="14"/>
  <c r="C42" i="14"/>
  <c r="AB22" i="1" a="1"/>
  <c r="AB22" i="1" s="1"/>
  <c r="V42" i="13"/>
  <c r="V41" i="8"/>
  <c r="V42" i="8"/>
  <c r="J48" i="14"/>
  <c r="O43" i="14"/>
  <c r="P44" i="14"/>
  <c r="P43" i="14"/>
  <c r="D43" i="14"/>
  <c r="D47" i="14" s="1"/>
  <c r="K41" i="13"/>
  <c r="K43" i="13"/>
  <c r="L41" i="13"/>
  <c r="L43" i="13"/>
  <c r="M41" i="13"/>
  <c r="M43" i="13"/>
  <c r="J41" i="13"/>
  <c r="J43" i="13"/>
  <c r="E44" i="14"/>
  <c r="E48" i="14" s="1"/>
  <c r="C43" i="14"/>
  <c r="C47" i="14" s="1"/>
  <c r="G43" i="14"/>
  <c r="G47" i="14" s="1"/>
  <c r="G44" i="14"/>
  <c r="G48" i="14" s="1"/>
  <c r="H44" i="14"/>
  <c r="C44" i="14"/>
  <c r="F44" i="14"/>
  <c r="F48" i="14" s="1"/>
  <c r="V18" i="14"/>
  <c r="F43" i="14"/>
  <c r="F47" i="14" s="1"/>
  <c r="Q44" i="14"/>
  <c r="B43" i="14"/>
  <c r="B47" i="14" s="1"/>
  <c r="H43" i="14"/>
  <c r="H47" i="14" s="1"/>
  <c r="I43" i="14"/>
  <c r="I47" i="14" s="1"/>
  <c r="I44" i="14"/>
  <c r="I48" i="14" s="1"/>
  <c r="Q43" i="14"/>
  <c r="D44" i="14"/>
  <c r="D48" i="14" s="1"/>
  <c r="D39" i="13"/>
  <c r="D44" i="13" s="1"/>
  <c r="D48" i="13" s="1"/>
  <c r="K44" i="13"/>
  <c r="M44" i="13"/>
  <c r="J44" i="13"/>
  <c r="J50" i="13" s="1"/>
  <c r="L44" i="13"/>
  <c r="O22" i="1" a="1"/>
  <c r="O22" i="1" s="1"/>
  <c r="N2" i="1" a="1"/>
  <c r="N2" i="1" s="1"/>
  <c r="V18" i="13"/>
  <c r="P47" i="13"/>
  <c r="P52" i="13" s="1"/>
  <c r="U47" i="8"/>
  <c r="S47" i="13"/>
  <c r="Q47" i="13"/>
  <c r="O47" i="13"/>
  <c r="O52" i="13" s="1"/>
  <c r="R47" i="13"/>
  <c r="T47" i="13"/>
  <c r="U47" i="13"/>
  <c r="N47" i="13"/>
  <c r="N52" i="13" s="1"/>
  <c r="T47" i="8"/>
  <c r="O47" i="8"/>
  <c r="S47" i="8"/>
  <c r="J47" i="8"/>
  <c r="P47" i="8"/>
  <c r="K47" i="8"/>
  <c r="L47" i="8"/>
  <c r="M47" i="8"/>
  <c r="Q47" i="8"/>
  <c r="N47" i="8"/>
  <c r="R47" i="8"/>
  <c r="H49" i="14" l="1"/>
  <c r="I49" i="8"/>
  <c r="H49" i="8"/>
  <c r="D49" i="8"/>
  <c r="B44" i="14"/>
  <c r="B48" i="14" s="1"/>
  <c r="F49" i="8"/>
  <c r="D50" i="14"/>
  <c r="E49" i="14"/>
  <c r="C50" i="8"/>
  <c r="AG2" i="1" s="1" a="1"/>
  <c r="AG2" i="1" s="1"/>
  <c r="D49" i="14"/>
  <c r="F50" i="14"/>
  <c r="I49" i="14"/>
  <c r="B49" i="14"/>
  <c r="G49" i="8"/>
  <c r="B49" i="13"/>
  <c r="L48" i="13"/>
  <c r="L50" i="13"/>
  <c r="Q2" i="1" a="1"/>
  <c r="Q2" i="1" s="1"/>
  <c r="J47" i="13"/>
  <c r="J52" i="13" s="1"/>
  <c r="J49" i="13"/>
  <c r="M47" i="13"/>
  <c r="M52" i="13" s="1"/>
  <c r="M49" i="13"/>
  <c r="Q47" i="14"/>
  <c r="Q49" i="14"/>
  <c r="E49" i="8"/>
  <c r="H48" i="14"/>
  <c r="H50" i="14"/>
  <c r="G50" i="14"/>
  <c r="V50" i="8"/>
  <c r="V38" i="8"/>
  <c r="K48" i="13"/>
  <c r="K50" i="13"/>
  <c r="V13" i="8"/>
  <c r="O48" i="14"/>
  <c r="O50" i="14"/>
  <c r="E50" i="14"/>
  <c r="P47" i="14"/>
  <c r="P49" i="14"/>
  <c r="Q42" i="1" a="1"/>
  <c r="Q42" i="1" s="1"/>
  <c r="B50" i="14"/>
  <c r="V13" i="14"/>
  <c r="P48" i="14"/>
  <c r="P50" i="14"/>
  <c r="P2" i="1" a="1"/>
  <c r="P2" i="1" s="1"/>
  <c r="B49" i="8"/>
  <c r="V12" i="8"/>
  <c r="F49" i="14"/>
  <c r="O47" i="14"/>
  <c r="O49" i="14"/>
  <c r="D50" i="13"/>
  <c r="R2" i="1" a="1"/>
  <c r="R2" i="1" s="1"/>
  <c r="M48" i="13"/>
  <c r="M50" i="13"/>
  <c r="C49" i="14"/>
  <c r="L47" i="13"/>
  <c r="L52" i="13" s="1"/>
  <c r="L49" i="13"/>
  <c r="K47" i="13"/>
  <c r="K52" i="13" s="1"/>
  <c r="K49" i="13"/>
  <c r="G49" i="14"/>
  <c r="Q48" i="14"/>
  <c r="Q50" i="14"/>
  <c r="C48" i="14"/>
  <c r="C50" i="14"/>
  <c r="I50" i="14"/>
  <c r="V41" i="13"/>
  <c r="T42" i="1" a="1"/>
  <c r="T42" i="1" s="1"/>
  <c r="V42" i="14"/>
  <c r="AB42" i="1" a="1"/>
  <c r="AB42" i="1" s="1"/>
  <c r="V41" i="14"/>
  <c r="T22" i="1" a="1"/>
  <c r="T22" i="1" s="1"/>
  <c r="V43" i="13"/>
  <c r="J48" i="13"/>
  <c r="S22" i="1" a="1"/>
  <c r="S22" i="1" s="1"/>
  <c r="S42" i="1" a="1"/>
  <c r="S42" i="1" s="1"/>
  <c r="B47" i="8"/>
  <c r="V47" i="8" s="1"/>
  <c r="V43" i="8"/>
  <c r="R42" i="1" a="1"/>
  <c r="R42" i="1" s="1"/>
  <c r="V43" i="14"/>
  <c r="V44" i="14"/>
  <c r="V39" i="8"/>
  <c r="R22" i="1" a="1"/>
  <c r="R22" i="1" s="1"/>
  <c r="V47" i="13" l="1"/>
  <c r="AD22" i="1" a="1"/>
  <c r="AD22" i="1" s="1"/>
  <c r="AF42" i="1" a="1"/>
  <c r="AF42" i="1" s="1"/>
  <c r="AD2" i="1" a="1"/>
  <c r="AD2" i="1" s="1"/>
  <c r="AG22" i="1" a="1"/>
  <c r="AG22" i="1" s="1"/>
  <c r="AF22" i="1" a="1"/>
  <c r="AF22" i="1" s="1"/>
  <c r="AD42" i="1" a="1"/>
  <c r="AD42" i="1" s="1"/>
  <c r="V49" i="14"/>
  <c r="V48" i="14"/>
  <c r="V47" i="14"/>
  <c r="AG42" i="1" a="1"/>
  <c r="AG42" i="1" s="1"/>
  <c r="V50" i="14"/>
  <c r="V49" i="13"/>
  <c r="AF2" i="1" a="1"/>
  <c r="AF2" i="1" s="1"/>
  <c r="V49" i="8"/>
  <c r="AE42" i="1" a="1"/>
  <c r="AE42" i="1" s="1"/>
  <c r="V50" i="13"/>
  <c r="C48" i="8"/>
  <c r="V48" i="8" s="1"/>
  <c r="V44" i="8"/>
  <c r="AE2" i="1" l="1" a="1"/>
  <c r="AE2" i="1" s="1"/>
  <c r="V39" i="13"/>
  <c r="V44" i="13"/>
  <c r="B48" i="13" l="1"/>
  <c r="V48" i="13" s="1"/>
  <c r="AE22" i="1" l="1" a="1"/>
  <c r="AE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<sst xmlns="http://schemas.openxmlformats.org/spreadsheetml/2006/main" count="2462" uniqueCount="374">
  <si>
    <t>Number</t>
  </si>
  <si>
    <t>Year</t>
  </si>
  <si>
    <t>Treatment</t>
  </si>
  <si>
    <t>Replicate</t>
  </si>
  <si>
    <t>Bean Harvest (g)</t>
  </si>
  <si>
    <t>Kale Harvest (g)</t>
  </si>
  <si>
    <t>na</t>
  </si>
  <si>
    <t>Carrot Gr. 1 Harvest (g)</t>
  </si>
  <si>
    <t>Inorganic Fertilizer</t>
  </si>
  <si>
    <t>Tillage</t>
  </si>
  <si>
    <t>Cover crops</t>
  </si>
  <si>
    <t>Compost</t>
  </si>
  <si>
    <t>Yes</t>
  </si>
  <si>
    <t>No</t>
  </si>
  <si>
    <t>Grazing</t>
  </si>
  <si>
    <t>Item</t>
  </si>
  <si>
    <t>Treatment 1-2</t>
  </si>
  <si>
    <t>Treatment 1-3</t>
  </si>
  <si>
    <t>Treatment 1-4</t>
  </si>
  <si>
    <t>Treatment 2-1</t>
  </si>
  <si>
    <t>Treatment 2-2</t>
  </si>
  <si>
    <t>Treatment 2-3</t>
  </si>
  <si>
    <t>Treatment 2-4</t>
  </si>
  <si>
    <t>Treatment 3-1</t>
  </si>
  <si>
    <t>Treatment 3-2</t>
  </si>
  <si>
    <t>Treatment 3-3</t>
  </si>
  <si>
    <t>Treatment 3-4</t>
  </si>
  <si>
    <t>Treatment 4-1</t>
  </si>
  <si>
    <t>Treatment 4-2</t>
  </si>
  <si>
    <t>Treatment 5-1</t>
  </si>
  <si>
    <t>Treatment 5-2</t>
  </si>
  <si>
    <t>Treatment 5-3</t>
  </si>
  <si>
    <t>Treatment 5-4</t>
  </si>
  <si>
    <t>Treatment 1-1</t>
  </si>
  <si>
    <t>Treatment 4-3</t>
  </si>
  <si>
    <t>Treatment 4-4</t>
  </si>
  <si>
    <t>Crop</t>
  </si>
  <si>
    <t>Green beans (BC)</t>
  </si>
  <si>
    <t>Unit</t>
  </si>
  <si>
    <t>Unit type</t>
  </si>
  <si>
    <t>lbs</t>
  </si>
  <si>
    <t>Unit to g</t>
  </si>
  <si>
    <t>Type</t>
  </si>
  <si>
    <t>Carrots (BC)</t>
  </si>
  <si>
    <t>Kale (BC)</t>
  </si>
  <si>
    <t>Green beans (Vancouver)</t>
  </si>
  <si>
    <t>Carrots (Vancouver)</t>
  </si>
  <si>
    <t>Kale (Vancouver)</t>
  </si>
  <si>
    <t>Conventional Wholesale - 24 CT</t>
  </si>
  <si>
    <t>Conventional Wholesale - CTN 20 LBS</t>
  </si>
  <si>
    <t>Kale</t>
  </si>
  <si>
    <t>Organic Crops</t>
  </si>
  <si>
    <t>Source</t>
  </si>
  <si>
    <t>Agriculture &amp; Agri-Food Canada</t>
  </si>
  <si>
    <t>Annual Summary of Weekly Wholesale to Retail Market Prices</t>
  </si>
  <si>
    <t>Wholesale-Vancouver</t>
  </si>
  <si>
    <t>Commodity</t>
  </si>
  <si>
    <t>Variety</t>
  </si>
  <si>
    <t>Origin</t>
  </si>
  <si>
    <t>Unit Quantity</t>
  </si>
  <si>
    <t>Grade</t>
  </si>
  <si>
    <t>2020</t>
  </si>
  <si>
    <t>2021</t>
  </si>
  <si>
    <t>2022</t>
  </si>
  <si>
    <t>2023</t>
  </si>
  <si>
    <t>2024</t>
  </si>
  <si>
    <t>Low</t>
  </si>
  <si>
    <t>High</t>
  </si>
  <si>
    <t>Beans</t>
  </si>
  <si>
    <t>Cranberry</t>
  </si>
  <si>
    <t>MEXICO</t>
  </si>
  <si>
    <t xml:space="preserve">Ctn 10 lbs </t>
  </si>
  <si>
    <t>N/A</t>
  </si>
  <si>
    <t xml:space="preserve">-    </t>
  </si>
  <si>
    <t xml:space="preserve">Ctn 14 lbs </t>
  </si>
  <si>
    <t xml:space="preserve">Ctn 15 lbs </t>
  </si>
  <si>
    <t>Fava</t>
  </si>
  <si>
    <t>British Columbia</t>
  </si>
  <si>
    <t xml:space="preserve">Ctn 25 lbs </t>
  </si>
  <si>
    <t>Fancy</t>
  </si>
  <si>
    <t>California</t>
  </si>
  <si>
    <t xml:space="preserve">Ctn 1,11 Bu </t>
  </si>
  <si>
    <t>United States Number 1</t>
  </si>
  <si>
    <t>French</t>
  </si>
  <si>
    <t xml:space="preserve">Ctn 6X340 Gr </t>
  </si>
  <si>
    <t xml:space="preserve">Ctn 12X340 Gr </t>
  </si>
  <si>
    <t xml:space="preserve">Ctn 30 lbs </t>
  </si>
  <si>
    <t xml:space="preserve">Ctn 5X907 Gr </t>
  </si>
  <si>
    <t>UNITED STATES</t>
  </si>
  <si>
    <t>Garbanzo</t>
  </si>
  <si>
    <t>Green</t>
  </si>
  <si>
    <t xml:space="preserve">Ctn 20 lbs </t>
  </si>
  <si>
    <t xml:space="preserve">Ctn 28 lbs </t>
  </si>
  <si>
    <t xml:space="preserve">Ctn 1 Bu </t>
  </si>
  <si>
    <t xml:space="preserve">Ctn 12X454 Gr </t>
  </si>
  <si>
    <t xml:space="preserve">Crt 1,11 Bu </t>
  </si>
  <si>
    <t xml:space="preserve">Bag 25 lbs </t>
  </si>
  <si>
    <t xml:space="preserve">Bag 30 lbs </t>
  </si>
  <si>
    <t xml:space="preserve">Ctn 5 lbs </t>
  </si>
  <si>
    <t>Organic-Green</t>
  </si>
  <si>
    <t xml:space="preserve">Ctn 12X12 Oz </t>
  </si>
  <si>
    <t>Romano</t>
  </si>
  <si>
    <t xml:space="preserve">Ctn 13 lbs </t>
  </si>
  <si>
    <t>White</t>
  </si>
  <si>
    <t>Yellow</t>
  </si>
  <si>
    <t>Carrots</t>
  </si>
  <si>
    <t>Bchd</t>
  </si>
  <si>
    <t xml:space="preserve">Ctn 24  </t>
  </si>
  <si>
    <t>Canada Number 1</t>
  </si>
  <si>
    <t>Ctn 24  Bchd</t>
  </si>
  <si>
    <t>Jumbo</t>
  </si>
  <si>
    <t>Arizona</t>
  </si>
  <si>
    <t>Ctn 50 lbs Jbo</t>
  </si>
  <si>
    <t xml:space="preserve">Ctn 50 lbs </t>
  </si>
  <si>
    <t>CANADA</t>
  </si>
  <si>
    <t>CHINA</t>
  </si>
  <si>
    <t xml:space="preserve">Ctn 10 kg </t>
  </si>
  <si>
    <t xml:space="preserve">Ctn 22 lbs </t>
  </si>
  <si>
    <t>Mini</t>
  </si>
  <si>
    <t xml:space="preserve">Ctn 15X2 lbs </t>
  </si>
  <si>
    <t xml:space="preserve">Ctn 30X1 lbs </t>
  </si>
  <si>
    <t>Washington</t>
  </si>
  <si>
    <t>Organic-Rainbow</t>
  </si>
  <si>
    <t xml:space="preserve">Ctn 24X2 lbs </t>
  </si>
  <si>
    <t>Organic-Unspecified</t>
  </si>
  <si>
    <t xml:space="preserve">Ctn 10X5 lbs </t>
  </si>
  <si>
    <t>Snaptop</t>
  </si>
  <si>
    <t>Topped</t>
  </si>
  <si>
    <t>Unspecified</t>
  </si>
  <si>
    <t xml:space="preserve">Bag 10X5 lbs </t>
  </si>
  <si>
    <t xml:space="preserve">Bag 24X2 lbs </t>
  </si>
  <si>
    <t>Ontario</t>
  </si>
  <si>
    <t>Black</t>
  </si>
  <si>
    <t>Organic-Black</t>
  </si>
  <si>
    <t>Organic-Red</t>
  </si>
  <si>
    <t>Red</t>
  </si>
  <si>
    <t>The information in the report is believed to be accurate but is not warranted. Published data is subject to revision at any time. Reasonable efforts have been made to provide a report that is accessible to all parties. Please send an e-mail to aafc.infohort.aac@agr.gc.ca if you are unable to access the report.</t>
  </si>
  <si>
    <t>Organic BC - SEP 2022</t>
  </si>
  <si>
    <t>Organic BC - SEP 2024</t>
  </si>
  <si>
    <t>Organic BC - AUG 2023</t>
  </si>
  <si>
    <t>Notes</t>
  </si>
  <si>
    <t>Used green bean prices as proxy for purple beans</t>
  </si>
  <si>
    <t>Used September data as this was when most of the crops were harvested. Used green instead of purple beans.</t>
  </si>
  <si>
    <t>Used August data - no September available. Used green instead of purple beans.</t>
  </si>
  <si>
    <t>Used September data for green curly kale (no red Russian).</t>
  </si>
  <si>
    <t>Used August data for green curly kale (no red Russian).</t>
  </si>
  <si>
    <t>Used conventional green kale prices (no Red Russian). Assumed that 24CT = 20# (based on Organic BC reporting)</t>
  </si>
  <si>
    <t>TOTAL HARVEST COST</t>
  </si>
  <si>
    <t>TOTAL WEEDING &amp; PEST MANAGEMENT COST</t>
  </si>
  <si>
    <t>Bean Wholesale Price ($/g)</t>
  </si>
  <si>
    <t>BEANS TOTAL</t>
  </si>
  <si>
    <t>CARROTS TOTAL</t>
  </si>
  <si>
    <t>Carrot Wholesale Price ($/g)</t>
  </si>
  <si>
    <t>KALE</t>
  </si>
  <si>
    <t>KALE TOTAL</t>
  </si>
  <si>
    <t>Kale Wholesale Price ($/g)</t>
  </si>
  <si>
    <t>ANNUAL VARIABLE COST</t>
  </si>
  <si>
    <t>Livestock Revenue</t>
  </si>
  <si>
    <t>REVENUE</t>
  </si>
  <si>
    <t>TOTAL LIVESTOCK COST</t>
  </si>
  <si>
    <t>Cover Crop Seeds</t>
  </si>
  <si>
    <t>TOTAL LAND PREPARATION COST</t>
  </si>
  <si>
    <t>TOTAL FERTILITY &amp; NUTRIENT COST</t>
  </si>
  <si>
    <t>TOTAL SEED COST</t>
  </si>
  <si>
    <t>TOTAL PLANTING COST</t>
  </si>
  <si>
    <t>Saanich Organics</t>
  </si>
  <si>
    <t>2022/2023</t>
  </si>
  <si>
    <t>Labour Cost - Weeding ($)</t>
  </si>
  <si>
    <t>Labour Time - Weeding (min)</t>
  </si>
  <si>
    <t>Seeds - Beans</t>
  </si>
  <si>
    <t>Seeds - Carrots &amp; Kale</t>
  </si>
  <si>
    <t>Seeds - Beans, Carrots, &amp; Kale</t>
  </si>
  <si>
    <t>Fertility - Compost</t>
  </si>
  <si>
    <t>Fertility - Fertilizer</t>
  </si>
  <si>
    <t>Farm to Garden Organics</t>
  </si>
  <si>
    <t>Johnny's Selected Seeds</t>
  </si>
  <si>
    <t>Treatments 3-5</t>
  </si>
  <si>
    <t>Category</t>
  </si>
  <si>
    <t>Supplier</t>
  </si>
  <si>
    <t>Cost</t>
  </si>
  <si>
    <t>Amount Used</t>
  </si>
  <si>
    <t>Treatments Used</t>
  </si>
  <si>
    <t>Treatments 1-2</t>
  </si>
  <si>
    <t>All</t>
  </si>
  <si>
    <t>Seeds - Cover Crops</t>
  </si>
  <si>
    <t>Treatments 2-5</t>
  </si>
  <si>
    <t>Labour Cost - Planting</t>
  </si>
  <si>
    <t>Adjusted Cost</t>
  </si>
  <si>
    <t>Cost Per Treatment</t>
  </si>
  <si>
    <t>Integrity Sales &amp; Distributors</t>
  </si>
  <si>
    <t>Treatments</t>
  </si>
  <si>
    <t>Treatments 2-6</t>
  </si>
  <si>
    <t>Treatments 2-7</t>
  </si>
  <si>
    <t>Treatments 1-3</t>
  </si>
  <si>
    <t>Treatments 1-4</t>
  </si>
  <si>
    <t>BC Minimum Wage ($/hr)</t>
  </si>
  <si>
    <t>BC Minimum Wage ($/min)</t>
  </si>
  <si>
    <t>Labour Time - Bean Harvest (min)</t>
  </si>
  <si>
    <t>Labour Time - Carrot Harvest (min)</t>
  </si>
  <si>
    <t>Labour Time - Kale Harvest (min)</t>
  </si>
  <si>
    <t>Labour Cost - Bean Harvest ($)</t>
  </si>
  <si>
    <t>Labour Cost - Carrot Harvest ($)</t>
  </si>
  <si>
    <t>Labour Cost - Kale Harvest ($)</t>
  </si>
  <si>
    <t>Labour Cost - Bean Harvest</t>
  </si>
  <si>
    <t>Labour Cost - Carrot Harvest</t>
  </si>
  <si>
    <t>Labour Cost - Kale Harvest</t>
  </si>
  <si>
    <t>HARVEST LABOUR COSTS</t>
  </si>
  <si>
    <t>WEEDING LABOUR COSTS</t>
  </si>
  <si>
    <t>Labour Cost - Livestock Management</t>
  </si>
  <si>
    <t>Equipment - Livestock</t>
  </si>
  <si>
    <t>Livestock Cost</t>
  </si>
  <si>
    <t>PLANTING LABOUR COSTS</t>
  </si>
  <si>
    <t>Labour Cost - Planting ($)</t>
  </si>
  <si>
    <t>LIVESTOCK MANAGEMENT LABOUR COSTS</t>
  </si>
  <si>
    <t>NET RETURNS</t>
  </si>
  <si>
    <t>Bean Harvest Yield (g)</t>
  </si>
  <si>
    <t>Bean Revenue ($)</t>
  </si>
  <si>
    <t>Carrot Harvest Yield (g)</t>
  </si>
  <si>
    <t>Carrot Revenue ($)</t>
  </si>
  <si>
    <t>Kale Harvest Yield (g)</t>
  </si>
  <si>
    <t>Kale Revenue ($)</t>
  </si>
  <si>
    <t>Pest Management - Rabbit Fence</t>
  </si>
  <si>
    <t>Conventional Wholesale - unspecified Ctn 10x5 lbs BC</t>
  </si>
  <si>
    <t>Conventional Wholesale - unspecified Bag 24x2 lbs BC</t>
  </si>
  <si>
    <t>Used the unspecified prices as the tops were removed. Used 10x5 lbs line - doesn't cover all three years</t>
  </si>
  <si>
    <t>Used the unspecified prices as the tops were removed. Used 10x5 lbs line - not available for 2024</t>
  </si>
  <si>
    <t>Used the unspecified prices as the tops were removed. Used 24 x 2 lbs bag line - not available for 2022</t>
  </si>
  <si>
    <t>Used September data as this was when most of the crops were harvested. Looked at table carrots.</t>
  </si>
  <si>
    <t>Used August data - no September available. Looked at table carrots.</t>
  </si>
  <si>
    <t>Used September data as this was when most of the crops were harvested. Looked at table carrots - no BC.</t>
  </si>
  <si>
    <t>Labour Cost - Weeding</t>
  </si>
  <si>
    <t>Low Price ($)</t>
  </si>
  <si>
    <t>High Price ($)</t>
  </si>
  <si>
    <t>Average Price ($)</t>
  </si>
  <si>
    <t>Average price ($/g)</t>
  </si>
  <si>
    <t>Questions</t>
  </si>
  <si>
    <t>1. What about weed whacking and mower use? Also for carrying crops</t>
  </si>
  <si>
    <t>2. How do I quantify sheep revenue?</t>
  </si>
  <si>
    <t>3. What about fuel costs?</t>
  </si>
  <si>
    <t>4. What about post-harvest?</t>
  </si>
  <si>
    <t>Fuel</t>
  </si>
  <si>
    <t>Various Gas Stations</t>
  </si>
  <si>
    <t>Every year</t>
  </si>
  <si>
    <t>Note: this is a big assumption. Can't remember how much I paid, but I filled jugs roughly once a year for my research.</t>
  </si>
  <si>
    <t>Note</t>
  </si>
  <si>
    <t>Time Used (min)</t>
  </si>
  <si>
    <t>Rotary plow</t>
  </si>
  <si>
    <t>Flail mower</t>
  </si>
  <si>
    <t>Power harrow</t>
  </si>
  <si>
    <t xml:space="preserve">TOTAL 2023 </t>
  </si>
  <si>
    <t>TOTAL 2024</t>
  </si>
  <si>
    <t>TOTAL 2022</t>
  </si>
  <si>
    <t>Cost ($/min)</t>
  </si>
  <si>
    <t>Cost Per Treatment ($)</t>
  </si>
  <si>
    <t>Cost ($/hr)</t>
  </si>
  <si>
    <t>LABOUR - LAND PREPARATION</t>
  </si>
  <si>
    <t>MACHINERY USE - LAND PREPARATION</t>
  </si>
  <si>
    <t>Cost ($)</t>
  </si>
  <si>
    <t>Labour Costs - Machinery</t>
  </si>
  <si>
    <t>Labour Costs - Raking and Bed Preparation</t>
  </si>
  <si>
    <t>Labour Costs - Compost Spreading</t>
  </si>
  <si>
    <t>TOTAL 2022 (Treatments 3-5)</t>
  </si>
  <si>
    <t>TOTAL 2022 (Treatments 1-2)</t>
  </si>
  <si>
    <t>Labour Costs - No-Till Bed Preparation</t>
  </si>
  <si>
    <t>Treatment 5</t>
  </si>
  <si>
    <t>TOTAL 2023 (Treatments 1-2)</t>
  </si>
  <si>
    <t>TOTAL 2023 (Treatment 5)</t>
  </si>
  <si>
    <t>TOTAL 2024 (Treatments 1-2)</t>
  </si>
  <si>
    <t>TOTAL 2024 (Treatment 5)</t>
  </si>
  <si>
    <t>Labour Cost -  Planting ($)</t>
  </si>
  <si>
    <t>Labour Time - Cover Crop Planting (min)</t>
  </si>
  <si>
    <t>TOTAL</t>
  </si>
  <si>
    <t>These values are the same as 2024 - they weren't measured</t>
  </si>
  <si>
    <t xml:space="preserve">Interesting - this number increased as I worked with a RA for most of the season </t>
  </si>
  <si>
    <t>Total Harvest (g)</t>
  </si>
  <si>
    <t>Note: orange cells are estimates and must be verified at Integrity</t>
  </si>
  <si>
    <t xml:space="preserve">These numbers were created by understanding capital costs </t>
  </si>
  <si>
    <t xml:space="preserve">and annual operating costs over the ten year life cycle of the </t>
  </si>
  <si>
    <t>machine, and then taking the annual usage into</t>
  </si>
  <si>
    <t>consideration. The numbers of $23, $25, and $27/hr reflect</t>
  </si>
  <si>
    <t>inflation.</t>
  </si>
  <si>
    <t>The 2024 time numbers were used for 2023 as well.</t>
  </si>
  <si>
    <t>Labour Costs - Weed Whacking Post Grazing</t>
  </si>
  <si>
    <t>Treatments 4-5</t>
  </si>
  <si>
    <t>Treatments 3</t>
  </si>
  <si>
    <t>Treatment 4</t>
  </si>
  <si>
    <t>TOTAL 2023 (Treatment 4)</t>
  </si>
  <si>
    <t>TOTAL 2024 (Treatment 4)</t>
  </si>
  <si>
    <t>TOTAL 2024 (Treatment 3)</t>
  </si>
  <si>
    <t>TOTAL 2023 (Treatment 3)</t>
  </si>
  <si>
    <t>Treatment 3</t>
  </si>
  <si>
    <t>Machine Cost - Land Preparation</t>
  </si>
  <si>
    <t>Labour Cost - Land Preparation</t>
  </si>
  <si>
    <t>Labour Time - Livestock Management (min)</t>
  </si>
  <si>
    <t>Labour Cost - Livestock Management ($)</t>
  </si>
  <si>
    <t>This is an approximate number.</t>
  </si>
  <si>
    <t>Conventional Direct Marketing</t>
  </si>
  <si>
    <t>Organic Crop</t>
  </si>
  <si>
    <t>Green beans</t>
  </si>
  <si>
    <t>Organic Direct Marketing</t>
  </si>
  <si>
    <t>Bean Revenue (2.5 x 1 m) - WHOLESALE</t>
  </si>
  <si>
    <t>Carrot Revenue (2.5 x 1 m) - WHOLESALE</t>
  </si>
  <si>
    <t>Kale Revenue (2.5 x 1 m) - WHOLESALE</t>
  </si>
  <si>
    <t>Bean Revenue (2.5 x 1 m) - DIRECT MARKETING</t>
  </si>
  <si>
    <t>Carrot Revenue (2.5 x 1 m) - DIRECT MARKETING</t>
  </si>
  <si>
    <t>Kale Revenue (2.5 x 1 m) - DIRECT MARKETING</t>
  </si>
  <si>
    <t>BEANS - WHOLESALE</t>
  </si>
  <si>
    <t>BEANS - DIRECT MARKETING</t>
  </si>
  <si>
    <t>CARROTS - DIRECT MARKETING</t>
  </si>
  <si>
    <t>CARROTS - WHOLESALE</t>
  </si>
  <si>
    <t>KALE - DIRECT MARKETING</t>
  </si>
  <si>
    <t>TOTAL MARKETING COST</t>
  </si>
  <si>
    <t>TOTAL ANNUAL VARIABLE COST - WHOLESALE</t>
  </si>
  <si>
    <t>TOTAL ANNUAL VARIABLE COST - DIRECT MARKETING</t>
  </si>
  <si>
    <t>RETURNS OVER VARIABLE COST - WHOLESALE</t>
  </si>
  <si>
    <t>RETURNS OVER VARIABLE COST - DIRECT MARKETING</t>
  </si>
  <si>
    <t>WHOLESALE PRICES - CONVENTIONAL</t>
  </si>
  <si>
    <t>WHOLESALE PRICES - ORGANIC</t>
  </si>
  <si>
    <t>DIRECT MARKETING PRICES - CONVENTIONAL</t>
  </si>
  <si>
    <t>DIRECT MARKETING PRICES - ORGANIC</t>
  </si>
  <si>
    <t>Total Revenue - Wholesale ($)</t>
  </si>
  <si>
    <t>Total Revenue - Direct Marketing ($)</t>
  </si>
  <si>
    <t>Total Annual Variable Cost - Wholesale ($)</t>
  </si>
  <si>
    <t>Total Annual Labour Cost - Wholesale ($)</t>
  </si>
  <si>
    <t>Net Returns Over Variable Cost - Wholesale ($)</t>
  </si>
  <si>
    <t>Total Annual Variable Cost - Direct Marketing ($)</t>
  </si>
  <si>
    <t>Total Annual Labour Cost - Direct Marketing ($)</t>
  </si>
  <si>
    <t>Net Returns Over Variable Cost - Direct Marketing ($)</t>
  </si>
  <si>
    <t>Organic Wholesale - green bulk 20# BC</t>
  </si>
  <si>
    <t>Organic Wholesale - table 25# BC</t>
  </si>
  <si>
    <t>Organic Wholesale - table 25# CA</t>
  </si>
  <si>
    <t>Organic Wholesale - green curly 24CT BC</t>
  </si>
  <si>
    <t>I multiplied the wholesale average price by 1.7 and divided by the unit number to get this price.</t>
  </si>
  <si>
    <t>I multiplied the wholesale average price by 1.8 and divided by the unit number to get this price.</t>
  </si>
  <si>
    <t>Note: I figured that total marketing costs will be 25% of the annual variable cost.</t>
  </si>
  <si>
    <t>Associated Marketing Costs - Wholesale (25% of Total Revenue)</t>
  </si>
  <si>
    <t>Associated Marketing Costs - Direct Marketing (35% of Total Revenue)</t>
  </si>
  <si>
    <t>Average price ($/lb)</t>
  </si>
  <si>
    <t>TOTAL ANNUAL LABOUR COST - DIRECT MARKETING</t>
  </si>
  <si>
    <t>TOTAL ANNUAL LABOUR COST - WHOLESALE</t>
  </si>
  <si>
    <t>Conventional wholesale numbers * 1.7</t>
  </si>
  <si>
    <t>Organic wholesale numbers * 1.8</t>
  </si>
  <si>
    <t>3 yards ultrafine compost</t>
  </si>
  <si>
    <t>Note: I used a free bag of cover crop for my first season. Kept it consistent afterwards.</t>
  </si>
  <si>
    <t>Multiplied the order by the USD-CAD conversion for June 21, 2022 (*1.2919)</t>
  </si>
  <si>
    <t>I multiplied the order by the USD-CAD conversion for April 3 (*1.3527) and 28 (*1.3682), 2024.</t>
  </si>
  <si>
    <t>Multiplied the order by the USD-CAD conversion for May 8, 2023 (*1.3369)</t>
  </si>
  <si>
    <t>$11.99 + GST/PST. Price remained stable.</t>
  </si>
  <si>
    <t xml:space="preserve">TOTAL REVENUE - WHOLESALE </t>
  </si>
  <si>
    <t xml:space="preserve">TOTAL REVENUE - DIRECT MARKETING </t>
  </si>
  <si>
    <t xml:space="preserve">TOTAL REVENUE - WHOLESALE WITH 33% SORT-OUTS </t>
  </si>
  <si>
    <t>TOTAL REVENUE - DIRECT MARKETING WITH 20% UNSOLD</t>
  </si>
  <si>
    <t>RETURNS OVER VARIABLE COST - WHOLESALE WITH 33% SORT OUTS</t>
  </si>
  <si>
    <t>RETURNS OVER VARIABLE COST - DIRECT MARKETING WITH 20% UNSOLD</t>
  </si>
  <si>
    <t>Total Revenue - Wholesale 33% Sort Outs ($)</t>
  </si>
  <si>
    <t>Total Revenue - Direct Marketing 20% Unsold ($)</t>
  </si>
  <si>
    <t>Net Returns Over Variable Cost - Wholesale 33% Sort Outs ($)</t>
  </si>
  <si>
    <t>Net Returns Over Variable Cost - Direct Marketing 20% Unsold ($)</t>
  </si>
  <si>
    <t>Average price ($/kg)</t>
  </si>
  <si>
    <t>Report Generated on 2025-10-25 16:07:59</t>
  </si>
  <si>
    <t>Labour Cost - Land Preparation ($)</t>
  </si>
  <si>
    <t xml:space="preserve">Labour Cost - Planting ($) </t>
  </si>
  <si>
    <t>0-50</t>
  </si>
  <si>
    <t>50-100</t>
  </si>
  <si>
    <t>100-500</t>
  </si>
  <si>
    <t>2018-2022</t>
  </si>
  <si>
    <t>500-1M</t>
  </si>
  <si>
    <t>1M+</t>
  </si>
  <si>
    <t>class</t>
  </si>
  <si>
    <t>year</t>
  </si>
  <si>
    <t>expenses</t>
  </si>
  <si>
    <t>margin</t>
  </si>
  <si>
    <t>TOTAL INPUT COST</t>
  </si>
  <si>
    <t>Total Annual Input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</si>
</sst>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[$$-1009]#,##0.00;\([$$-1009]#,##0.00\);\-\ \ \ \ 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2222"/>
      <name val="Arial"/>
      <family val="2"/>
    </font>
    <font>
      <sz val="8.5"/>
      <color rgb="FF222222"/>
      <name val="Arial"/>
      <family val="2"/>
    </font>
    <font>
      <b/>
      <sz val="14"/>
      <color rgb="FF222222"/>
      <name val="Arial"/>
      <family val="2"/>
    </font>
    <font>
      <sz val="8"/>
      <color rgb="FF222222"/>
      <name val="Arial"/>
      <family val="2"/>
    </font>
    <font>
      <sz val="8"/>
      <name val="Aptos Narrow"/>
      <family val="2"/>
      <scheme val="minor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5E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textRotation="180"/>
    </xf>
    <xf numFmtId="0" fontId="2" fillId="0" borderId="0" xfId="0" applyFont="1"/>
    <xf numFmtId="44" fontId="0" fillId="0" borderId="0" xfId="1" applyFont="1"/>
    <xf numFmtId="44" fontId="0" fillId="0" borderId="0" xfId="0" applyNumberFormat="1"/>
    <xf numFmtId="0" fontId="2" fillId="2" borderId="0" xfId="0" applyFont="1" applyFill="1"/>
    <xf numFmtId="0" fontId="0" fillId="2" borderId="0" xfId="0" applyFill="1"/>
    <xf numFmtId="44" fontId="2" fillId="2" borderId="0" xfId="0" applyNumberFormat="1" applyFont="1" applyFill="1"/>
    <xf numFmtId="0" fontId="6" fillId="3" borderId="5" xfId="0" applyFont="1" applyFill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right" vertical="top"/>
    </xf>
    <xf numFmtId="164" fontId="6" fillId="0" borderId="7" xfId="0" applyNumberFormat="1" applyFont="1" applyBorder="1" applyAlignment="1">
      <alignment horizontal="right" vertical="top"/>
    </xf>
    <xf numFmtId="0" fontId="6" fillId="0" borderId="9" xfId="0" applyFont="1" applyBorder="1" applyAlignment="1">
      <alignment horizontal="left" vertical="top"/>
    </xf>
    <xf numFmtId="0" fontId="0" fillId="0" borderId="10" xfId="0" applyBorder="1"/>
    <xf numFmtId="0" fontId="2" fillId="5" borderId="10" xfId="0" applyFont="1" applyFill="1" applyBorder="1"/>
    <xf numFmtId="0" fontId="0" fillId="5" borderId="10" xfId="0" applyFill="1" applyBorder="1"/>
    <xf numFmtId="0" fontId="0" fillId="2" borderId="10" xfId="0" applyFill="1" applyBorder="1" applyAlignment="1">
      <alignment textRotation="180"/>
    </xf>
    <xf numFmtId="0" fontId="2" fillId="2" borderId="10" xfId="0" applyFont="1" applyFill="1" applyBorder="1" applyAlignment="1">
      <alignment textRotation="180"/>
    </xf>
    <xf numFmtId="2" fontId="0" fillId="0" borderId="0" xfId="0" applyNumberFormat="1"/>
    <xf numFmtId="44" fontId="2" fillId="2" borderId="0" xfId="1" applyFont="1" applyFill="1"/>
    <xf numFmtId="44" fontId="2" fillId="0" borderId="0" xfId="0" applyNumberFormat="1" applyFont="1"/>
    <xf numFmtId="9" fontId="0" fillId="0" borderId="0" xfId="0" applyNumberFormat="1"/>
    <xf numFmtId="9" fontId="0" fillId="0" borderId="0" xfId="2" applyFont="1"/>
    <xf numFmtId="0" fontId="0" fillId="0" borderId="0" xfId="1" applyNumberFormat="1" applyFont="1"/>
    <xf numFmtId="44" fontId="0" fillId="4" borderId="0" xfId="1" applyFont="1" applyFill="1"/>
    <xf numFmtId="0" fontId="2" fillId="2" borderId="0" xfId="0" applyFont="1" applyFill="1" applyAlignment="1">
      <alignment textRotation="180"/>
    </xf>
    <xf numFmtId="0" fontId="2" fillId="2" borderId="10" xfId="0" applyFont="1" applyFill="1" applyBorder="1" applyAlignment="1">
      <alignment horizontal="right"/>
    </xf>
    <xf numFmtId="44" fontId="0" fillId="0" borderId="10" xfId="1" applyFont="1" applyBorder="1"/>
    <xf numFmtId="44" fontId="0" fillId="0" borderId="10" xfId="0" applyNumberFormat="1" applyBorder="1"/>
    <xf numFmtId="44" fontId="2" fillId="0" borderId="0" xfId="1" applyFont="1"/>
    <xf numFmtId="44" fontId="0" fillId="4" borderId="10" xfId="1" applyFont="1" applyFill="1" applyBorder="1"/>
    <xf numFmtId="44" fontId="0" fillId="0" borderId="0" xfId="1" applyFont="1" applyFill="1"/>
    <xf numFmtId="0" fontId="2" fillId="6" borderId="0" xfId="0" applyFont="1" applyFill="1"/>
    <xf numFmtId="44" fontId="2" fillId="6" borderId="0" xfId="0" applyNumberFormat="1" applyFont="1" applyFill="1"/>
    <xf numFmtId="44" fontId="2" fillId="6" borderId="0" xfId="1" applyFont="1" applyFill="1" applyBorder="1"/>
    <xf numFmtId="0" fontId="2" fillId="5" borderId="11" xfId="0" applyFont="1" applyFill="1" applyBorder="1"/>
    <xf numFmtId="0" fontId="0" fillId="5" borderId="11" xfId="0" applyFill="1" applyBorder="1"/>
    <xf numFmtId="0" fontId="2" fillId="2" borderId="11" xfId="0" applyFont="1" applyFill="1" applyBorder="1"/>
    <xf numFmtId="44" fontId="2" fillId="2" borderId="11" xfId="0" applyNumberFormat="1" applyFont="1" applyFill="1" applyBorder="1"/>
    <xf numFmtId="0" fontId="2" fillId="2" borderId="10" xfId="0" applyFont="1" applyFill="1" applyBorder="1"/>
    <xf numFmtId="44" fontId="2" fillId="2" borderId="10" xfId="0" applyNumberFormat="1" applyFont="1" applyFill="1" applyBorder="1"/>
    <xf numFmtId="0" fontId="0" fillId="5" borderId="12" xfId="0" applyFill="1" applyBorder="1"/>
    <xf numFmtId="44" fontId="2" fillId="0" borderId="13" xfId="0" applyNumberFormat="1" applyFont="1" applyBorder="1"/>
    <xf numFmtId="44" fontId="2" fillId="2" borderId="13" xfId="1" applyFont="1" applyFill="1" applyBorder="1"/>
    <xf numFmtId="44" fontId="2" fillId="4" borderId="13" xfId="1" applyFont="1" applyFill="1" applyBorder="1"/>
    <xf numFmtId="44" fontId="2" fillId="0" borderId="13" xfId="1" applyFont="1" applyBorder="1"/>
    <xf numFmtId="44" fontId="2" fillId="2" borderId="13" xfId="0" applyNumberFormat="1" applyFont="1" applyFill="1" applyBorder="1"/>
    <xf numFmtId="44" fontId="2" fillId="0" borderId="14" xfId="1" applyFont="1" applyBorder="1"/>
    <xf numFmtId="44" fontId="2" fillId="2" borderId="14" xfId="0" applyNumberFormat="1" applyFont="1" applyFill="1" applyBorder="1"/>
    <xf numFmtId="0" fontId="2" fillId="2" borderId="14" xfId="0" applyFont="1" applyFill="1" applyBorder="1" applyAlignment="1">
      <alignment textRotation="180"/>
    </xf>
    <xf numFmtId="0" fontId="0" fillId="5" borderId="14" xfId="0" applyFill="1" applyBorder="1"/>
    <xf numFmtId="44" fontId="2" fillId="4" borderId="14" xfId="1" applyFont="1" applyFill="1" applyBorder="1"/>
    <xf numFmtId="44" fontId="2" fillId="2" borderId="12" xfId="0" applyNumberFormat="1" applyFont="1" applyFill="1" applyBorder="1"/>
    <xf numFmtId="44" fontId="2" fillId="7" borderId="11" xfId="0" applyNumberFormat="1" applyFont="1" applyFill="1" applyBorder="1"/>
    <xf numFmtId="44" fontId="2" fillId="7" borderId="12" xfId="0" applyNumberFormat="1" applyFont="1" applyFill="1" applyBorder="1"/>
    <xf numFmtId="44" fontId="2" fillId="8" borderId="0" xfId="1" applyFont="1" applyFill="1"/>
    <xf numFmtId="44" fontId="0" fillId="0" borderId="10" xfId="1" applyFont="1" applyFill="1" applyBorder="1"/>
    <xf numFmtId="44" fontId="2" fillId="2" borderId="10" xfId="1" applyFont="1" applyFill="1" applyBorder="1"/>
    <xf numFmtId="0" fontId="2" fillId="0" borderId="10" xfId="0" applyFont="1" applyBorder="1"/>
    <xf numFmtId="44" fontId="8" fillId="0" borderId="0" xfId="1" applyFont="1"/>
    <xf numFmtId="0" fontId="0" fillId="0" borderId="0" xfId="0" applyAlignment="1">
      <alignment horizontal="right"/>
    </xf>
    <xf numFmtId="0" fontId="0" fillId="4" borderId="0" xfId="0" applyFill="1"/>
    <xf numFmtId="44" fontId="0" fillId="4" borderId="0" xfId="1" applyFont="1" applyFill="1" applyBorder="1"/>
    <xf numFmtId="44" fontId="2" fillId="2" borderId="15" xfId="0" applyNumberFormat="1" applyFont="1" applyFill="1" applyBorder="1"/>
    <xf numFmtId="44" fontId="0" fillId="2" borderId="0" xfId="1" applyFont="1" applyFill="1"/>
    <xf numFmtId="0" fontId="2" fillId="0" borderId="0" xfId="0" applyFont="1" applyAlignment="1">
      <alignment textRotation="180"/>
    </xf>
    <xf numFmtId="44" fontId="2" fillId="2" borderId="16" xfId="0" applyNumberFormat="1" applyFont="1" applyFill="1" applyBorder="1"/>
    <xf numFmtId="44" fontId="0" fillId="4" borderId="0" xfId="0" applyNumberFormat="1" applyFill="1"/>
    <xf numFmtId="44" fontId="0" fillId="5" borderId="10" xfId="0" applyNumberFormat="1" applyFill="1" applyBorder="1"/>
    <xf numFmtId="2" fontId="0" fillId="0" borderId="0" xfId="1" applyNumberFormat="1" applyFont="1"/>
    <xf numFmtId="10" fontId="0" fillId="0" borderId="0" xfId="0" applyNumberFormat="1"/>
    <xf numFmtId="44" fontId="0" fillId="5" borderId="11" xfId="0" applyNumberFormat="1" applyFill="1" applyBorder="1"/>
    <xf numFmtId="0" fontId="3" fillId="0" borderId="0" xfId="0" applyFont="1" applyAlignment="1">
      <alignment horizontal="left" vertical="top"/>
    </xf>
    <xf numFmtId="0" fontId="0" fillId="0" borderId="0" xfId="0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3" borderId="1" xfId="0" applyFont="1" applyFill="1" applyBorder="1" applyAlignment="1">
      <alignment horizontal="left" vertical="center"/>
    </xf>
    <xf numFmtId="0" fontId="0" fillId="3" borderId="4" xfId="0" applyFill="1" applyBorder="1"/>
    <xf numFmtId="0" fontId="6" fillId="3" borderId="2" xfId="0" applyFont="1" applyFill="1" applyBorder="1" applyAlignment="1">
      <alignment horizontal="left" vertical="top"/>
    </xf>
    <xf numFmtId="0" fontId="0" fillId="3" borderId="3" xfId="0" applyFill="1" applyBorder="1"/>
    <xf numFmtId="0" fontId="6" fillId="0" borderId="6" xfId="0" applyFont="1" applyBorder="1" applyAlignment="1">
      <alignment horizontal="left" vertical="top"/>
    </xf>
    <xf numFmtId="0" fontId="0" fillId="0" borderId="8" xfId="0" applyBorder="1"/>
    <xf numFmtId="0" fontId="0" fillId="0" borderId="9" xfId="0" applyBorder="1"/>
    <xf numFmtId="0" fontId="6" fillId="0" borderId="9" xfId="0" applyFont="1" applyBorder="1" applyAlignment="1">
      <alignment horizontal="left" vertical="top"/>
    </xf>
    <xf numFmtId="0" fontId="6" fillId="0" borderId="0" xfId="0" applyFont="1" applyAlignment="1">
      <alignment horizontal="left" vertical="top" wrapText="1"/>
    </xf>
  </cellXfs>
  <cellStyles count="3">
    <cellStyle name="Currency" xfId="1" builtinId="4"/>
    <cellStyle name="Normal" xfId="0" builtinId="0"/>
    <cellStyle name="Percent" xfId="2" builtinId="5"/>
  </cellStyles>
  <dxfs count="6"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6BFD-EE99-4632-A520-9739BB8E42CC}">
  <dimension ref="A1:O64"/>
  <sheetViews>
    <sheetView workbookViewId="0">
      <selection activeCell="G40" sqref="G40"/>
    </sheetView>
  </sheetViews>
  <sheetFormatPr defaultRowHeight="15"/>
  <cols>
    <col min="1" max="1" width="23.5703125" bestFit="1" customWidth="1"/>
    <col min="2" max="2" width="48.85546875" bestFit="1" customWidth="1"/>
    <col min="6" max="6" width="16.140625" bestFit="1" customWidth="1"/>
    <col min="7" max="7" width="18" bestFit="1" customWidth="1"/>
    <col min="8" max="8" width="35.5703125" bestFit="1" customWidth="1"/>
    <col min="9" max="9" width="103.5703125" bestFit="1" customWidth="1"/>
  </cols>
  <sheetData>
    <row r="1" spans="1:15">
      <c r="A1" s="5" t="s">
        <v>316</v>
      </c>
      <c r="B1" s="6"/>
      <c r="C1" s="6"/>
      <c r="D1" s="6"/>
      <c r="E1" s="6"/>
      <c r="F1" s="6"/>
      <c r="G1" s="6"/>
      <c r="H1" s="6"/>
      <c r="I1" s="6"/>
    </row>
    <row r="2" spans="1:15">
      <c r="A2" s="5" t="s">
        <v>36</v>
      </c>
      <c r="B2" s="5" t="s">
        <v>42</v>
      </c>
      <c r="C2" s="5" t="s">
        <v>1</v>
      </c>
      <c r="D2" s="5" t="s">
        <v>38</v>
      </c>
      <c r="E2" s="5" t="s">
        <v>39</v>
      </c>
      <c r="F2" s="5" t="s">
        <v>233</v>
      </c>
      <c r="G2" s="5" t="s">
        <v>337</v>
      </c>
      <c r="H2" s="5" t="s">
        <v>52</v>
      </c>
      <c r="I2" s="5" t="s">
        <v>140</v>
      </c>
      <c r="K2" s="2"/>
      <c r="L2" s="2"/>
      <c r="M2" s="2"/>
      <c r="N2" s="2"/>
      <c r="O2" s="2"/>
    </row>
    <row r="3" spans="1:15">
      <c r="A3" t="s">
        <v>45</v>
      </c>
      <c r="B3" t="s">
        <v>49</v>
      </c>
      <c r="C3">
        <v>2022</v>
      </c>
      <c r="D3">
        <v>20</v>
      </c>
      <c r="E3" t="s">
        <v>40</v>
      </c>
      <c r="F3" s="3">
        <v>40.85</v>
      </c>
      <c r="G3" s="24">
        <f>F3/D3</f>
        <v>2.0425</v>
      </c>
      <c r="H3" t="s">
        <v>53</v>
      </c>
      <c r="I3" s="3" t="s">
        <v>141</v>
      </c>
      <c r="N3" s="4"/>
      <c r="O3" s="4"/>
    </row>
    <row r="4" spans="1:15">
      <c r="A4" t="s">
        <v>45</v>
      </c>
      <c r="B4" t="s">
        <v>49</v>
      </c>
      <c r="C4">
        <v>2023</v>
      </c>
      <c r="D4">
        <v>20</v>
      </c>
      <c r="E4" t="s">
        <v>40</v>
      </c>
      <c r="F4" s="3">
        <v>43.25</v>
      </c>
      <c r="G4" s="24">
        <f t="shared" ref="G4:G11" si="0">F4/D4</f>
        <v>2.1625000000000001</v>
      </c>
      <c r="H4" t="s">
        <v>53</v>
      </c>
      <c r="I4" s="3"/>
      <c r="N4" s="4"/>
      <c r="O4" s="4"/>
    </row>
    <row r="5" spans="1:15">
      <c r="A5" t="s">
        <v>45</v>
      </c>
      <c r="B5" t="s">
        <v>49</v>
      </c>
      <c r="C5">
        <v>2024</v>
      </c>
      <c r="D5">
        <v>20</v>
      </c>
      <c r="E5" t="s">
        <v>40</v>
      </c>
      <c r="F5" s="3">
        <v>44.5</v>
      </c>
      <c r="G5" s="24">
        <f t="shared" si="0"/>
        <v>2.2250000000000001</v>
      </c>
      <c r="H5" t="s">
        <v>53</v>
      </c>
      <c r="I5" s="3"/>
      <c r="N5" s="4"/>
      <c r="O5" s="4"/>
    </row>
    <row r="6" spans="1:15">
      <c r="A6" t="s">
        <v>46</v>
      </c>
      <c r="B6" t="s">
        <v>222</v>
      </c>
      <c r="C6">
        <v>2022</v>
      </c>
      <c r="D6">
        <v>50</v>
      </c>
      <c r="E6" t="s">
        <v>40</v>
      </c>
      <c r="F6" s="3">
        <v>40.375</v>
      </c>
      <c r="G6" s="24">
        <f t="shared" si="0"/>
        <v>0.8075</v>
      </c>
      <c r="H6" t="s">
        <v>53</v>
      </c>
      <c r="I6" s="3" t="s">
        <v>225</v>
      </c>
      <c r="N6" s="4"/>
      <c r="O6" s="4"/>
    </row>
    <row r="7" spans="1:15">
      <c r="A7" t="s">
        <v>46</v>
      </c>
      <c r="B7" t="s">
        <v>222</v>
      </c>
      <c r="C7">
        <v>2023</v>
      </c>
      <c r="D7">
        <v>50</v>
      </c>
      <c r="E7" t="s">
        <v>40</v>
      </c>
      <c r="F7" s="3">
        <v>46.475000000000001</v>
      </c>
      <c r="G7" s="24">
        <f t="shared" si="0"/>
        <v>0.92949999999999999</v>
      </c>
      <c r="H7" t="s">
        <v>53</v>
      </c>
      <c r="I7" s="3" t="s">
        <v>224</v>
      </c>
      <c r="N7" s="4"/>
      <c r="O7" s="4"/>
    </row>
    <row r="8" spans="1:15">
      <c r="A8" t="s">
        <v>46</v>
      </c>
      <c r="B8" t="s">
        <v>223</v>
      </c>
      <c r="C8">
        <v>2024</v>
      </c>
      <c r="D8">
        <v>48</v>
      </c>
      <c r="E8" t="s">
        <v>40</v>
      </c>
      <c r="F8" s="3">
        <v>66.25</v>
      </c>
      <c r="G8" s="24">
        <f t="shared" si="0"/>
        <v>1.3802083333333333</v>
      </c>
      <c r="H8" t="s">
        <v>53</v>
      </c>
      <c r="I8" s="3" t="s">
        <v>226</v>
      </c>
      <c r="N8" s="4"/>
      <c r="O8" s="4"/>
    </row>
    <row r="9" spans="1:15">
      <c r="A9" t="s">
        <v>47</v>
      </c>
      <c r="B9" t="s">
        <v>48</v>
      </c>
      <c r="C9">
        <v>2022</v>
      </c>
      <c r="D9">
        <v>20</v>
      </c>
      <c r="E9" t="s">
        <v>40</v>
      </c>
      <c r="F9" s="3">
        <v>26.85</v>
      </c>
      <c r="G9" s="24">
        <f t="shared" si="0"/>
        <v>1.3425</v>
      </c>
      <c r="H9" t="s">
        <v>53</v>
      </c>
      <c r="I9" s="3" t="s">
        <v>146</v>
      </c>
      <c r="N9" s="4"/>
      <c r="O9" s="4"/>
    </row>
    <row r="10" spans="1:15">
      <c r="A10" t="s">
        <v>47</v>
      </c>
      <c r="B10" t="s">
        <v>48</v>
      </c>
      <c r="C10">
        <v>2023</v>
      </c>
      <c r="D10">
        <v>20</v>
      </c>
      <c r="E10" t="s">
        <v>40</v>
      </c>
      <c r="F10" s="3">
        <v>30.15</v>
      </c>
      <c r="G10" s="24">
        <f t="shared" si="0"/>
        <v>1.5074999999999998</v>
      </c>
      <c r="H10" t="s">
        <v>53</v>
      </c>
      <c r="I10" s="3"/>
      <c r="N10" s="4"/>
      <c r="O10" s="4"/>
    </row>
    <row r="11" spans="1:15">
      <c r="A11" t="s">
        <v>47</v>
      </c>
      <c r="B11" t="s">
        <v>48</v>
      </c>
      <c r="C11">
        <v>2024</v>
      </c>
      <c r="D11">
        <v>20</v>
      </c>
      <c r="E11" t="s">
        <v>40</v>
      </c>
      <c r="F11" s="3">
        <v>28.5</v>
      </c>
      <c r="G11" s="24">
        <f t="shared" si="0"/>
        <v>1.425</v>
      </c>
      <c r="H11" t="s">
        <v>53</v>
      </c>
      <c r="I11" s="3"/>
      <c r="N11" s="4"/>
      <c r="O11" s="4"/>
    </row>
    <row r="12" spans="1:15">
      <c r="F12" s="3"/>
      <c r="G12" s="3"/>
      <c r="I12" s="3"/>
      <c r="N12" s="4"/>
      <c r="O12" s="4"/>
    </row>
    <row r="13" spans="1:15">
      <c r="A13" s="5" t="s">
        <v>317</v>
      </c>
      <c r="B13" s="6"/>
      <c r="C13" s="6"/>
      <c r="D13" s="6"/>
      <c r="E13" s="6"/>
      <c r="F13" s="64"/>
      <c r="G13" s="64"/>
      <c r="H13" s="6"/>
      <c r="I13" s="64"/>
      <c r="N13" s="4"/>
      <c r="O13" s="4"/>
    </row>
    <row r="14" spans="1:15">
      <c r="A14" s="5" t="s">
        <v>51</v>
      </c>
      <c r="B14" s="5" t="s">
        <v>42</v>
      </c>
      <c r="C14" s="5" t="s">
        <v>1</v>
      </c>
      <c r="D14" s="5" t="s">
        <v>38</v>
      </c>
      <c r="E14" s="5" t="s">
        <v>39</v>
      </c>
      <c r="F14" s="5" t="s">
        <v>233</v>
      </c>
      <c r="G14" s="5" t="s">
        <v>337</v>
      </c>
      <c r="H14" s="6"/>
      <c r="I14" s="5"/>
      <c r="N14" s="3"/>
      <c r="O14" s="4"/>
    </row>
    <row r="15" spans="1:15">
      <c r="A15" t="s">
        <v>37</v>
      </c>
      <c r="B15" t="s">
        <v>328</v>
      </c>
      <c r="C15">
        <v>2022</v>
      </c>
      <c r="D15">
        <v>20</v>
      </c>
      <c r="E15" t="s">
        <v>40</v>
      </c>
      <c r="F15" s="3">
        <v>65.400000000000006</v>
      </c>
      <c r="G15" s="24">
        <f>F15/D15</f>
        <v>3.2700000000000005</v>
      </c>
      <c r="H15" t="s">
        <v>137</v>
      </c>
      <c r="I15" s="3" t="s">
        <v>142</v>
      </c>
      <c r="N15" s="4"/>
      <c r="O15" s="4"/>
    </row>
    <row r="16" spans="1:15">
      <c r="A16" t="s">
        <v>37</v>
      </c>
      <c r="B16" t="s">
        <v>328</v>
      </c>
      <c r="C16">
        <v>2023</v>
      </c>
      <c r="D16">
        <v>20</v>
      </c>
      <c r="E16" t="s">
        <v>40</v>
      </c>
      <c r="F16" s="3">
        <v>71.5</v>
      </c>
      <c r="G16" s="24">
        <f t="shared" ref="G16:G23" si="1">F16/D16</f>
        <v>3.5750000000000002</v>
      </c>
      <c r="H16" t="s">
        <v>139</v>
      </c>
      <c r="I16" s="3" t="s">
        <v>143</v>
      </c>
      <c r="N16" s="4"/>
      <c r="O16" s="4"/>
    </row>
    <row r="17" spans="1:15">
      <c r="A17" t="s">
        <v>37</v>
      </c>
      <c r="B17" t="s">
        <v>328</v>
      </c>
      <c r="C17">
        <v>2024</v>
      </c>
      <c r="D17">
        <v>20</v>
      </c>
      <c r="E17" t="s">
        <v>40</v>
      </c>
      <c r="F17" s="3">
        <v>59.8</v>
      </c>
      <c r="G17" s="24">
        <f t="shared" si="1"/>
        <v>2.9899999999999998</v>
      </c>
      <c r="H17" t="s">
        <v>138</v>
      </c>
      <c r="I17" s="3" t="s">
        <v>142</v>
      </c>
      <c r="N17" s="4"/>
      <c r="O17" s="4"/>
    </row>
    <row r="18" spans="1:15">
      <c r="A18" t="s">
        <v>43</v>
      </c>
      <c r="B18" t="s">
        <v>329</v>
      </c>
      <c r="C18">
        <v>2022</v>
      </c>
      <c r="D18">
        <v>25</v>
      </c>
      <c r="E18" t="s">
        <v>40</v>
      </c>
      <c r="F18" s="3">
        <v>52.1</v>
      </c>
      <c r="G18" s="24">
        <f t="shared" si="1"/>
        <v>2.0840000000000001</v>
      </c>
      <c r="H18" t="s">
        <v>137</v>
      </c>
      <c r="I18" s="3" t="s">
        <v>227</v>
      </c>
      <c r="N18" s="4"/>
      <c r="O18" s="4"/>
    </row>
    <row r="19" spans="1:15">
      <c r="A19" t="s">
        <v>43</v>
      </c>
      <c r="B19" t="s">
        <v>329</v>
      </c>
      <c r="C19">
        <v>2023</v>
      </c>
      <c r="D19">
        <v>25</v>
      </c>
      <c r="E19" t="s">
        <v>40</v>
      </c>
      <c r="F19" s="3">
        <v>58.8</v>
      </c>
      <c r="G19" s="24">
        <f t="shared" si="1"/>
        <v>2.3519999999999999</v>
      </c>
      <c r="H19" t="s">
        <v>139</v>
      </c>
      <c r="I19" s="3" t="s">
        <v>228</v>
      </c>
      <c r="N19" s="4"/>
      <c r="O19" s="4"/>
    </row>
    <row r="20" spans="1:15">
      <c r="A20" t="s">
        <v>43</v>
      </c>
      <c r="B20" t="s">
        <v>330</v>
      </c>
      <c r="C20">
        <v>2024</v>
      </c>
      <c r="D20">
        <v>25</v>
      </c>
      <c r="E20" t="s">
        <v>40</v>
      </c>
      <c r="F20" s="3">
        <v>58.1</v>
      </c>
      <c r="G20" s="24">
        <f t="shared" si="1"/>
        <v>2.3239999999999998</v>
      </c>
      <c r="H20" t="s">
        <v>138</v>
      </c>
      <c r="I20" s="3" t="s">
        <v>229</v>
      </c>
      <c r="N20" s="4"/>
      <c r="O20" s="4"/>
    </row>
    <row r="21" spans="1:15">
      <c r="A21" t="s">
        <v>44</v>
      </c>
      <c r="B21" t="s">
        <v>331</v>
      </c>
      <c r="C21">
        <v>2022</v>
      </c>
      <c r="D21">
        <v>20</v>
      </c>
      <c r="E21" t="s">
        <v>40</v>
      </c>
      <c r="F21" s="3">
        <v>64.2</v>
      </c>
      <c r="G21" s="24">
        <f t="shared" si="1"/>
        <v>3.21</v>
      </c>
      <c r="H21" t="s">
        <v>137</v>
      </c>
      <c r="I21" s="3" t="s">
        <v>144</v>
      </c>
      <c r="N21" s="4"/>
      <c r="O21" s="4"/>
    </row>
    <row r="22" spans="1:15">
      <c r="A22" t="s">
        <v>44</v>
      </c>
      <c r="B22" t="s">
        <v>331</v>
      </c>
      <c r="C22">
        <v>2023</v>
      </c>
      <c r="D22">
        <v>20</v>
      </c>
      <c r="E22" t="s">
        <v>40</v>
      </c>
      <c r="F22" s="3">
        <v>68.400000000000006</v>
      </c>
      <c r="G22" s="24">
        <f t="shared" si="1"/>
        <v>3.4200000000000004</v>
      </c>
      <c r="H22" t="s">
        <v>139</v>
      </c>
      <c r="I22" s="3" t="s">
        <v>145</v>
      </c>
      <c r="N22" s="4"/>
      <c r="O22" s="4"/>
    </row>
    <row r="23" spans="1:15">
      <c r="A23" t="s">
        <v>44</v>
      </c>
      <c r="B23" t="s">
        <v>331</v>
      </c>
      <c r="C23">
        <v>2024</v>
      </c>
      <c r="D23">
        <v>20</v>
      </c>
      <c r="E23" t="s">
        <v>40</v>
      </c>
      <c r="F23" s="3">
        <v>57.2</v>
      </c>
      <c r="G23" s="24">
        <f t="shared" si="1"/>
        <v>2.8600000000000003</v>
      </c>
      <c r="H23" t="s">
        <v>138</v>
      </c>
      <c r="I23" s="3" t="s">
        <v>144</v>
      </c>
      <c r="N23" s="4"/>
      <c r="O23" s="4"/>
    </row>
    <row r="24" spans="1:15">
      <c r="N24" s="4"/>
      <c r="O24" s="4"/>
    </row>
    <row r="25" spans="1:15">
      <c r="A25" s="5" t="s">
        <v>318</v>
      </c>
      <c r="B25" s="6"/>
      <c r="C25" s="6"/>
      <c r="D25" s="6"/>
      <c r="E25" s="6"/>
      <c r="F25" s="6"/>
      <c r="G25" s="6"/>
      <c r="H25" s="6"/>
      <c r="I25" s="6"/>
      <c r="N25" s="4"/>
      <c r="O25" s="4"/>
    </row>
    <row r="26" spans="1:15">
      <c r="A26" s="5" t="s">
        <v>36</v>
      </c>
      <c r="B26" s="5" t="s">
        <v>42</v>
      </c>
      <c r="C26" s="5" t="s">
        <v>1</v>
      </c>
      <c r="D26" s="5" t="s">
        <v>38</v>
      </c>
      <c r="E26" s="5" t="s">
        <v>39</v>
      </c>
      <c r="F26" s="5" t="s">
        <v>233</v>
      </c>
      <c r="G26" s="5" t="s">
        <v>337</v>
      </c>
      <c r="H26" s="5" t="s">
        <v>52</v>
      </c>
      <c r="I26" s="5" t="s">
        <v>140</v>
      </c>
      <c r="N26" s="4"/>
      <c r="O26" s="4"/>
    </row>
    <row r="27" spans="1:15">
      <c r="A27" t="s">
        <v>298</v>
      </c>
      <c r="B27" t="s">
        <v>296</v>
      </c>
      <c r="C27">
        <v>2022</v>
      </c>
      <c r="D27">
        <v>1</v>
      </c>
      <c r="E27" t="s">
        <v>40</v>
      </c>
      <c r="F27" s="31">
        <f>(F3*1.7)/20</f>
        <v>3.4722500000000003</v>
      </c>
      <c r="G27" s="24">
        <f>F27/D27</f>
        <v>3.4722500000000003</v>
      </c>
      <c r="H27" t="s">
        <v>340</v>
      </c>
      <c r="I27" s="3" t="s">
        <v>332</v>
      </c>
      <c r="N27" s="4"/>
      <c r="O27" s="4"/>
    </row>
    <row r="28" spans="1:15">
      <c r="A28" t="s">
        <v>298</v>
      </c>
      <c r="B28" t="s">
        <v>296</v>
      </c>
      <c r="C28">
        <v>2023</v>
      </c>
      <c r="D28">
        <v>1</v>
      </c>
      <c r="E28" t="s">
        <v>40</v>
      </c>
      <c r="F28" s="31">
        <f t="shared" ref="F28:F35" si="2">(F4*1.7)/20</f>
        <v>3.6762499999999996</v>
      </c>
      <c r="G28" s="24">
        <f t="shared" ref="G28:G35" si="3">F28/D28</f>
        <v>3.6762499999999996</v>
      </c>
      <c r="H28" t="s">
        <v>340</v>
      </c>
      <c r="I28" s="3"/>
      <c r="N28" s="4"/>
      <c r="O28" s="4"/>
    </row>
    <row r="29" spans="1:15">
      <c r="A29" t="s">
        <v>298</v>
      </c>
      <c r="B29" t="s">
        <v>296</v>
      </c>
      <c r="C29">
        <v>2024</v>
      </c>
      <c r="D29">
        <v>1</v>
      </c>
      <c r="E29" t="s">
        <v>40</v>
      </c>
      <c r="F29" s="31">
        <f t="shared" si="2"/>
        <v>3.7824999999999998</v>
      </c>
      <c r="G29" s="24">
        <f t="shared" si="3"/>
        <v>3.7824999999999998</v>
      </c>
      <c r="H29" t="s">
        <v>340</v>
      </c>
      <c r="I29" s="3"/>
      <c r="N29" s="4"/>
      <c r="O29" s="4"/>
    </row>
    <row r="30" spans="1:15">
      <c r="A30" t="s">
        <v>105</v>
      </c>
      <c r="B30" t="s">
        <v>296</v>
      </c>
      <c r="C30">
        <v>2022</v>
      </c>
      <c r="D30">
        <v>1</v>
      </c>
      <c r="E30" t="s">
        <v>40</v>
      </c>
      <c r="F30" s="31">
        <f t="shared" si="2"/>
        <v>3.4318750000000002</v>
      </c>
      <c r="G30" s="24">
        <f t="shared" si="3"/>
        <v>3.4318750000000002</v>
      </c>
      <c r="H30" t="s">
        <v>340</v>
      </c>
      <c r="I30" s="3"/>
      <c r="N30" s="4"/>
      <c r="O30" s="4"/>
    </row>
    <row r="31" spans="1:15">
      <c r="A31" t="s">
        <v>105</v>
      </c>
      <c r="B31" t="s">
        <v>296</v>
      </c>
      <c r="C31">
        <v>2023</v>
      </c>
      <c r="D31">
        <v>1</v>
      </c>
      <c r="E31" t="s">
        <v>40</v>
      </c>
      <c r="F31" s="31">
        <f t="shared" si="2"/>
        <v>3.9503750000000002</v>
      </c>
      <c r="G31" s="24">
        <f t="shared" si="3"/>
        <v>3.9503750000000002</v>
      </c>
      <c r="H31" t="s">
        <v>340</v>
      </c>
      <c r="I31" s="3"/>
      <c r="N31" s="4"/>
      <c r="O31" s="4"/>
    </row>
    <row r="32" spans="1:15">
      <c r="A32" t="s">
        <v>105</v>
      </c>
      <c r="B32" t="s">
        <v>296</v>
      </c>
      <c r="C32">
        <v>2024</v>
      </c>
      <c r="D32">
        <v>1</v>
      </c>
      <c r="E32" t="s">
        <v>40</v>
      </c>
      <c r="F32" s="31">
        <f t="shared" si="2"/>
        <v>5.6312499999999996</v>
      </c>
      <c r="G32" s="24">
        <f t="shared" si="3"/>
        <v>5.6312499999999996</v>
      </c>
      <c r="H32" t="s">
        <v>340</v>
      </c>
      <c r="I32" s="3"/>
      <c r="N32" s="4"/>
      <c r="O32" s="4"/>
    </row>
    <row r="33" spans="1:15">
      <c r="A33" t="s">
        <v>50</v>
      </c>
      <c r="B33" t="s">
        <v>296</v>
      </c>
      <c r="C33">
        <v>2022</v>
      </c>
      <c r="D33">
        <v>1</v>
      </c>
      <c r="E33" t="s">
        <v>40</v>
      </c>
      <c r="F33" s="31">
        <f t="shared" si="2"/>
        <v>2.2822500000000003</v>
      </c>
      <c r="G33" s="24">
        <f t="shared" si="3"/>
        <v>2.2822500000000003</v>
      </c>
      <c r="H33" t="s">
        <v>340</v>
      </c>
      <c r="I33" s="3"/>
      <c r="N33" s="4"/>
      <c r="O33" s="4"/>
    </row>
    <row r="34" spans="1:15">
      <c r="A34" t="s">
        <v>50</v>
      </c>
      <c r="B34" t="s">
        <v>296</v>
      </c>
      <c r="C34">
        <v>2023</v>
      </c>
      <c r="D34">
        <v>1</v>
      </c>
      <c r="E34" t="s">
        <v>40</v>
      </c>
      <c r="F34" s="31">
        <f t="shared" si="2"/>
        <v>2.5627499999999999</v>
      </c>
      <c r="G34" s="24">
        <f t="shared" si="3"/>
        <v>2.5627499999999999</v>
      </c>
      <c r="H34" t="s">
        <v>340</v>
      </c>
      <c r="I34" s="3"/>
      <c r="N34" s="4"/>
      <c r="O34" s="4"/>
    </row>
    <row r="35" spans="1:15">
      <c r="A35" t="s">
        <v>50</v>
      </c>
      <c r="B35" t="s">
        <v>296</v>
      </c>
      <c r="C35">
        <v>2024</v>
      </c>
      <c r="D35">
        <v>1</v>
      </c>
      <c r="E35" t="s">
        <v>40</v>
      </c>
      <c r="F35" s="31">
        <f t="shared" si="2"/>
        <v>2.4224999999999999</v>
      </c>
      <c r="G35" s="24">
        <f t="shared" si="3"/>
        <v>2.4224999999999999</v>
      </c>
      <c r="H35" t="s">
        <v>340</v>
      </c>
      <c r="I35" s="3"/>
      <c r="N35" s="4"/>
      <c r="O35" s="4"/>
    </row>
    <row r="36" spans="1:15">
      <c r="N36" s="4"/>
      <c r="O36" s="4"/>
    </row>
    <row r="37" spans="1:15">
      <c r="A37" s="5" t="s">
        <v>319</v>
      </c>
      <c r="B37" s="5"/>
      <c r="C37" s="5"/>
      <c r="D37" s="5"/>
      <c r="E37" s="5"/>
      <c r="F37" s="5"/>
      <c r="G37" s="5"/>
      <c r="H37" s="5"/>
      <c r="I37" s="5"/>
      <c r="N37" s="4"/>
      <c r="O37" s="4"/>
    </row>
    <row r="38" spans="1:15">
      <c r="A38" s="5" t="s">
        <v>297</v>
      </c>
      <c r="B38" s="5" t="s">
        <v>42</v>
      </c>
      <c r="C38" s="5" t="s">
        <v>1</v>
      </c>
      <c r="D38" s="5" t="s">
        <v>38</v>
      </c>
      <c r="E38" s="5" t="s">
        <v>39</v>
      </c>
      <c r="F38" s="5" t="s">
        <v>233</v>
      </c>
      <c r="G38" s="5" t="s">
        <v>337</v>
      </c>
      <c r="H38" s="5" t="s">
        <v>52</v>
      </c>
      <c r="I38" s="5" t="s">
        <v>140</v>
      </c>
      <c r="N38" s="4"/>
      <c r="O38" s="4"/>
    </row>
    <row r="39" spans="1:15">
      <c r="A39" t="s">
        <v>298</v>
      </c>
      <c r="B39" t="s">
        <v>299</v>
      </c>
      <c r="C39">
        <v>2022</v>
      </c>
      <c r="D39">
        <v>1</v>
      </c>
      <c r="E39" t="s">
        <v>40</v>
      </c>
      <c r="F39" s="31">
        <f t="shared" ref="F39:F47" si="4">(F15*1.8)/D15</f>
        <v>5.886000000000001</v>
      </c>
      <c r="G39" s="24">
        <f>F39/D39</f>
        <v>5.886000000000001</v>
      </c>
      <c r="H39" t="s">
        <v>341</v>
      </c>
      <c r="I39" s="3" t="s">
        <v>333</v>
      </c>
      <c r="N39" s="4"/>
      <c r="O39" s="4"/>
    </row>
    <row r="40" spans="1:15">
      <c r="A40" t="s">
        <v>298</v>
      </c>
      <c r="B40" t="s">
        <v>299</v>
      </c>
      <c r="C40">
        <v>2023</v>
      </c>
      <c r="D40">
        <v>1</v>
      </c>
      <c r="E40" t="s">
        <v>40</v>
      </c>
      <c r="F40" s="31">
        <f t="shared" si="4"/>
        <v>6.4350000000000005</v>
      </c>
      <c r="G40" s="24">
        <f t="shared" ref="G40:G47" si="5">F40/D40</f>
        <v>6.4350000000000005</v>
      </c>
      <c r="H40" t="s">
        <v>341</v>
      </c>
      <c r="I40" s="3"/>
      <c r="N40" s="4"/>
      <c r="O40" s="4"/>
    </row>
    <row r="41" spans="1:15">
      <c r="A41" t="s">
        <v>298</v>
      </c>
      <c r="B41" t="s">
        <v>299</v>
      </c>
      <c r="C41">
        <v>2024</v>
      </c>
      <c r="D41">
        <v>1</v>
      </c>
      <c r="E41" t="s">
        <v>40</v>
      </c>
      <c r="F41" s="31">
        <f t="shared" si="4"/>
        <v>5.3819999999999997</v>
      </c>
      <c r="G41" s="24">
        <f t="shared" si="5"/>
        <v>5.3819999999999997</v>
      </c>
      <c r="H41" t="s">
        <v>341</v>
      </c>
      <c r="I41" s="3"/>
      <c r="N41" s="4"/>
      <c r="O41" s="4"/>
    </row>
    <row r="42" spans="1:15">
      <c r="A42" t="s">
        <v>105</v>
      </c>
      <c r="B42" t="s">
        <v>299</v>
      </c>
      <c r="C42">
        <v>2022</v>
      </c>
      <c r="D42">
        <v>1</v>
      </c>
      <c r="E42" t="s">
        <v>40</v>
      </c>
      <c r="F42" s="31">
        <f t="shared" si="4"/>
        <v>3.7511999999999999</v>
      </c>
      <c r="G42" s="24">
        <f t="shared" si="5"/>
        <v>3.7511999999999999</v>
      </c>
      <c r="H42" t="s">
        <v>341</v>
      </c>
      <c r="I42" s="3"/>
      <c r="N42" s="4"/>
      <c r="O42" s="4"/>
    </row>
    <row r="43" spans="1:15">
      <c r="A43" t="s">
        <v>105</v>
      </c>
      <c r="B43" t="s">
        <v>299</v>
      </c>
      <c r="C43">
        <v>2023</v>
      </c>
      <c r="D43">
        <v>1</v>
      </c>
      <c r="E43" t="s">
        <v>40</v>
      </c>
      <c r="F43" s="31">
        <f t="shared" si="4"/>
        <v>4.2336</v>
      </c>
      <c r="G43" s="24">
        <f t="shared" si="5"/>
        <v>4.2336</v>
      </c>
      <c r="H43" t="s">
        <v>341</v>
      </c>
      <c r="I43" s="3"/>
      <c r="N43" s="4"/>
      <c r="O43" s="4"/>
    </row>
    <row r="44" spans="1:15">
      <c r="A44" t="s">
        <v>105</v>
      </c>
      <c r="B44" t="s">
        <v>299</v>
      </c>
      <c r="C44">
        <v>2024</v>
      </c>
      <c r="D44">
        <v>1</v>
      </c>
      <c r="E44" t="s">
        <v>40</v>
      </c>
      <c r="F44" s="31">
        <f t="shared" si="4"/>
        <v>4.1832000000000003</v>
      </c>
      <c r="G44" s="24">
        <f t="shared" si="5"/>
        <v>4.1832000000000003</v>
      </c>
      <c r="H44" t="s">
        <v>341</v>
      </c>
      <c r="I44" s="3"/>
      <c r="N44" s="4"/>
      <c r="O44" s="4"/>
    </row>
    <row r="45" spans="1:15">
      <c r="A45" t="s">
        <v>50</v>
      </c>
      <c r="B45" t="s">
        <v>299</v>
      </c>
      <c r="C45">
        <v>2022</v>
      </c>
      <c r="D45">
        <v>1</v>
      </c>
      <c r="E45" t="s">
        <v>40</v>
      </c>
      <c r="F45" s="31">
        <f t="shared" si="4"/>
        <v>5.7780000000000005</v>
      </c>
      <c r="G45" s="24">
        <f t="shared" si="5"/>
        <v>5.7780000000000005</v>
      </c>
      <c r="H45" t="s">
        <v>341</v>
      </c>
      <c r="I45" s="3"/>
      <c r="N45" s="4"/>
      <c r="O45" s="4"/>
    </row>
    <row r="46" spans="1:15">
      <c r="A46" t="s">
        <v>50</v>
      </c>
      <c r="B46" t="s">
        <v>299</v>
      </c>
      <c r="C46">
        <v>2023</v>
      </c>
      <c r="D46">
        <v>1</v>
      </c>
      <c r="E46" t="s">
        <v>40</v>
      </c>
      <c r="F46" s="31">
        <f t="shared" si="4"/>
        <v>6.1560000000000006</v>
      </c>
      <c r="G46" s="24">
        <f t="shared" si="5"/>
        <v>6.1560000000000006</v>
      </c>
      <c r="H46" t="s">
        <v>341</v>
      </c>
      <c r="I46" s="3"/>
      <c r="N46" s="4"/>
      <c r="O46" s="4"/>
    </row>
    <row r="47" spans="1:15">
      <c r="A47" t="s">
        <v>50</v>
      </c>
      <c r="B47" t="s">
        <v>299</v>
      </c>
      <c r="C47">
        <v>2024</v>
      </c>
      <c r="D47">
        <v>1</v>
      </c>
      <c r="E47" t="s">
        <v>40</v>
      </c>
      <c r="F47" s="31">
        <f t="shared" si="4"/>
        <v>5.1480000000000006</v>
      </c>
      <c r="G47" s="24">
        <f t="shared" si="5"/>
        <v>5.1480000000000006</v>
      </c>
      <c r="H47" t="s">
        <v>341</v>
      </c>
      <c r="I47" s="3"/>
      <c r="N47" s="4"/>
      <c r="O47" s="4"/>
    </row>
    <row r="48" spans="1:15">
      <c r="N48" s="4"/>
      <c r="O48" s="4"/>
    </row>
    <row r="49" spans="14:15">
      <c r="N49" s="4"/>
      <c r="O49" s="4"/>
    </row>
    <row r="50" spans="14:15">
      <c r="N50" s="4"/>
      <c r="O50" s="4"/>
    </row>
    <row r="51" spans="14:15">
      <c r="N51" s="4"/>
      <c r="O51" s="4"/>
    </row>
    <row r="52" spans="14:15">
      <c r="N52" s="4"/>
      <c r="O52" s="4"/>
    </row>
    <row r="53" spans="14:15">
      <c r="N53" s="4"/>
      <c r="O53" s="4"/>
    </row>
    <row r="54" spans="14:15">
      <c r="N54" s="4"/>
      <c r="O54" s="4"/>
    </row>
    <row r="55" spans="14:15">
      <c r="N55" s="4"/>
      <c r="O55" s="4"/>
    </row>
    <row r="56" spans="14:15">
      <c r="N56" s="4"/>
      <c r="O56" s="4"/>
    </row>
    <row r="57" spans="14:15">
      <c r="N57" s="4"/>
      <c r="O57" s="4"/>
    </row>
    <row r="58" spans="14:15">
      <c r="N58" s="4"/>
      <c r="O58" s="4"/>
    </row>
    <row r="59" spans="14:15">
      <c r="N59" s="4"/>
      <c r="O59" s="4"/>
    </row>
    <row r="60" spans="14:15">
      <c r="N60" s="4"/>
      <c r="O60" s="4"/>
    </row>
    <row r="61" spans="14:15">
      <c r="N61" s="4"/>
      <c r="O61" s="4"/>
    </row>
    <row r="62" spans="14:15">
      <c r="N62" s="4"/>
      <c r="O62" s="4"/>
    </row>
    <row r="63" spans="14:15">
      <c r="N63" s="4"/>
      <c r="O63" s="4"/>
    </row>
    <row r="64" spans="14:15">
      <c r="N64" s="4"/>
      <c r="O64" s="4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879B-B5FD-4394-B33F-F4D06DDDD13E}">
  <dimension ref="A1:AG61"/>
  <sheetViews>
    <sheetView zoomScaleNormal="100" workbookViewId="0">
      <pane xSplit="4" ySplit="1" topLeftCell="J29" activePane="bottomRight" state="frozen"/>
      <selection pane="topRight" activeCell="E1" sqref="E1"/>
      <selection pane="bottomLeft" activeCell="A2" sqref="A2"/>
      <selection pane="bottomRight" activeCell="AC1" sqref="AC1"/>
    </sheetView>
  </sheetViews>
  <sheetFormatPr defaultRowHeight="15"/>
  <cols>
    <col min="14" max="14" width="9.5703125" bestFit="1" customWidth="1"/>
    <col min="15" max="17" width="9.5703125" customWidth="1"/>
    <col min="18" max="18" width="9.5703125" bestFit="1" customWidth="1"/>
    <col min="19" max="19" width="9.5703125" customWidth="1"/>
    <col min="20" max="20" width="9.5703125" bestFit="1" customWidth="1"/>
    <col min="21" max="29" width="9.5703125" customWidth="1"/>
    <col min="30" max="30" width="9.5703125" bestFit="1" customWidth="1"/>
  </cols>
  <sheetData>
    <row r="1" spans="1:33" ht="237" customHeight="1">
      <c r="A1" s="65" t="s">
        <v>0</v>
      </c>
      <c r="B1" s="65" t="s">
        <v>1</v>
      </c>
      <c r="C1" s="65" t="s">
        <v>2</v>
      </c>
      <c r="D1" s="65" t="s">
        <v>3</v>
      </c>
      <c r="E1" s="65" t="s">
        <v>8</v>
      </c>
      <c r="F1" s="65" t="s">
        <v>9</v>
      </c>
      <c r="G1" s="65" t="s">
        <v>10</v>
      </c>
      <c r="H1" s="65" t="s">
        <v>11</v>
      </c>
      <c r="I1" s="65" t="s">
        <v>14</v>
      </c>
      <c r="J1" s="65" t="s">
        <v>4</v>
      </c>
      <c r="K1" s="65" t="s">
        <v>7</v>
      </c>
      <c r="L1" s="65" t="s">
        <v>5</v>
      </c>
      <c r="M1" s="65" t="s">
        <v>274</v>
      </c>
      <c r="N1" s="65" t="s">
        <v>320</v>
      </c>
      <c r="O1" s="65" t="s">
        <v>321</v>
      </c>
      <c r="P1" s="65" t="s">
        <v>354</v>
      </c>
      <c r="Q1" s="65" t="s">
        <v>355</v>
      </c>
      <c r="R1" s="65" t="s">
        <v>322</v>
      </c>
      <c r="S1" s="65" t="s">
        <v>325</v>
      </c>
      <c r="T1" s="65" t="s">
        <v>323</v>
      </c>
      <c r="U1" s="65" t="s">
        <v>360</v>
      </c>
      <c r="V1" s="65" t="s">
        <v>361</v>
      </c>
      <c r="W1" s="65" t="s">
        <v>167</v>
      </c>
      <c r="X1" s="65" t="s">
        <v>200</v>
      </c>
      <c r="Y1" s="65" t="s">
        <v>201</v>
      </c>
      <c r="Z1" s="65" t="s">
        <v>202</v>
      </c>
      <c r="AA1" s="65" t="s">
        <v>294</v>
      </c>
      <c r="AB1" s="65" t="s">
        <v>326</v>
      </c>
      <c r="AC1" s="65" t="s">
        <v>373</v>
      </c>
      <c r="AD1" s="65" t="s">
        <v>324</v>
      </c>
      <c r="AE1" s="65" t="s">
        <v>327</v>
      </c>
      <c r="AF1" s="65" t="s">
        <v>356</v>
      </c>
      <c r="AG1" s="65" t="s">
        <v>357</v>
      </c>
    </row>
    <row r="2" spans="1:33">
      <c r="A2">
        <v>1</v>
      </c>
      <c r="B2">
        <v>2022</v>
      </c>
      <c r="C2">
        <v>1</v>
      </c>
      <c r="D2">
        <v>1</v>
      </c>
      <c r="E2" t="s">
        <v>12</v>
      </c>
      <c r="F2" t="s">
        <v>12</v>
      </c>
      <c r="G2" t="s">
        <v>13</v>
      </c>
      <c r="H2" t="s">
        <v>13</v>
      </c>
      <c r="I2" t="s">
        <v>13</v>
      </c>
      <c r="J2">
        <v>3247.3</v>
      </c>
      <c r="K2">
        <v>1689.2</v>
      </c>
      <c r="L2">
        <v>30.2</v>
      </c>
      <c r="M2">
        <f>SUM(J2:L2)</f>
        <v>4966.7</v>
      </c>
      <c r="N2" s="59" cm="1">
        <f t="array" ref="N2:N21">TRANSPOSE('Cost-Benefit Analysis 2022'!B10:U10)</f>
        <v>17.718954906582752</v>
      </c>
      <c r="O2" s="59" cm="1">
        <f t="array" ref="O2:O21">TRANSPOSE('Cost-Benefit Analysis 2022'!B11:U11)</f>
        <v>30.122223341190683</v>
      </c>
      <c r="P2" s="59" cm="1">
        <f t="array" ref="P2:P21">TRANSPOSE('Cost-Benefit Analysis 2022'!B12:U12)</f>
        <v>11.812636604388501</v>
      </c>
      <c r="Q2" s="59" cm="1">
        <f t="array" ref="Q2:Q21">TRANSPOSE('Cost-Benefit Analysis 2022'!B13:U13)</f>
        <v>24.097778672952547</v>
      </c>
      <c r="R2" s="3" cm="1">
        <f t="array" ref="R2:R21">TRANSPOSE('Cost-Benefit Analysis 2022'!B43:U43)</f>
        <v>33.915988726645693</v>
      </c>
      <c r="S2" s="3" cm="1">
        <f t="array" ref="S2:S21">TRANSPOSE('Cost-Benefit Analysis 2022'!B44:U44)</f>
        <v>40.02902816941674</v>
      </c>
      <c r="T2" s="3" cm="1">
        <f t="array" ref="T2:T21">TRANSPOSE('Cost-Benefit Analysis 2022'!B41:U41)</f>
        <v>25.561666666666671</v>
      </c>
      <c r="U2" s="3" cm="1">
        <f t="array" ref="U2:U21">TRANSPOSE('Cost-Benefit Analysis 2022'!B18:U18)</f>
        <v>7.107708333333334</v>
      </c>
      <c r="V2" s="3" cm="1">
        <f t="array" ref="V2:V21">TRANSPOSE('Cost-Benefit Analysis 2022'!B26:U26)</f>
        <v>0</v>
      </c>
      <c r="W2" s="3" cm="1">
        <f t="array" ref="W2:W21">TRANSPOSE('Cost-Benefit Analysis 2022'!B28:U28)</f>
        <v>11.998333333333335</v>
      </c>
      <c r="X2" s="3" cm="1">
        <f t="array" ref="X2:X21">TRANSPOSE('Cost-Benefit Analysis 2022'!B30:U30)</f>
        <v>4.9558333333333335</v>
      </c>
      <c r="Y2" s="3" cm="1">
        <f t="array" ref="Y2:Y21">TRANSPOSE('Cost-Benefit Analysis 2022'!B31:U31)</f>
        <v>1.0433333333333334</v>
      </c>
      <c r="Z2" s="3" cm="1">
        <f t="array" ref="Z2:Z21">TRANSPOSE('Cost-Benefit Analysis 2022'!B32:U32)</f>
        <v>0.45645833333333341</v>
      </c>
      <c r="AA2" s="3" cm="1">
        <f t="array" ref="AA2:AA21">TRANSPOSE('Cost-Benefit Analysis 2022'!B34:U34)</f>
        <v>0</v>
      </c>
      <c r="AB2" s="3" cm="1">
        <f t="array" ref="AB2:AB21">TRANSPOSE('Cost-Benefit Analysis 2022'!B42:U42)</f>
        <v>25.561666666666671</v>
      </c>
      <c r="AC2" s="3" cm="1">
        <f t="array" ref="AC2:AC21">TRANSPOSE('Cost-Benefit Analysis 2022'!B40:U40)</f>
        <v>1.67875</v>
      </c>
      <c r="AD2" s="3" cm="1">
        <f t="array" ref="AD2:AD21">TRANSPOSE('Cost-Benefit Analysis 2022'!B47:U47)</f>
        <v>-16.197033820062941</v>
      </c>
      <c r="AE2" s="3" cm="1">
        <f t="array" ref="AE2:AE21">TRANSPOSE('Cost-Benefit Analysis 2022'!B48:U48)</f>
        <v>-9.9068048282260577</v>
      </c>
      <c r="AF2" s="3" cm="1">
        <f t="array" ref="AF2:AF21">TRANSPOSE('Cost-Benefit Analysis 2022'!B49:U49)</f>
        <v>-22.103352122257192</v>
      </c>
      <c r="AG2" s="3" cm="1">
        <f t="array" ref="AG2:AG21">TRANSPOSE('Cost-Benefit Analysis 2022'!B50:U50)</f>
        <v>-15.931249496464194</v>
      </c>
    </row>
    <row r="3" spans="1:33">
      <c r="A3">
        <v>2</v>
      </c>
      <c r="B3">
        <v>2022</v>
      </c>
      <c r="C3">
        <v>1</v>
      </c>
      <c r="D3">
        <v>2</v>
      </c>
      <c r="E3" t="s">
        <v>12</v>
      </c>
      <c r="F3" t="s">
        <v>12</v>
      </c>
      <c r="G3" t="s">
        <v>13</v>
      </c>
      <c r="H3" t="s">
        <v>13</v>
      </c>
      <c r="I3" t="s">
        <v>13</v>
      </c>
      <c r="J3">
        <v>3715.0999999999995</v>
      </c>
      <c r="K3">
        <v>4814.5</v>
      </c>
      <c r="L3">
        <v>49.8</v>
      </c>
      <c r="M3">
        <f t="shared" ref="M3:M61" si="0">SUM(J3:L3)</f>
        <v>8579.3999999999978</v>
      </c>
      <c r="N3" s="3">
        <v>25.447202738441121</v>
      </c>
      <c r="O3" s="3">
        <v>43.260244655349908</v>
      </c>
      <c r="P3" s="3">
        <v>16.964801825627411</v>
      </c>
      <c r="Q3" s="3">
        <v>34.608195724279931</v>
      </c>
      <c r="R3" s="3">
        <v>37.999925684610275</v>
      </c>
      <c r="S3" s="3">
        <v>46.779210629372464</v>
      </c>
      <c r="T3" s="3">
        <v>27.713541666666668</v>
      </c>
      <c r="U3" s="3">
        <v>7.107708333333334</v>
      </c>
      <c r="V3" s="3">
        <v>0</v>
      </c>
      <c r="W3" s="3">
        <v>10.172500000000001</v>
      </c>
      <c r="X3" s="3">
        <v>5.4775000000000009</v>
      </c>
      <c r="Y3" s="3">
        <v>4.434166666666667</v>
      </c>
      <c r="Z3" s="3">
        <v>0.52166666666666672</v>
      </c>
      <c r="AA3" s="3">
        <v>0</v>
      </c>
      <c r="AB3" s="3">
        <v>27.713541666666668</v>
      </c>
      <c r="AC3" s="3">
        <v>1.67875</v>
      </c>
      <c r="AD3" s="3">
        <v>-12.552722946169155</v>
      </c>
      <c r="AE3" s="3">
        <v>-3.5189659740225565</v>
      </c>
      <c r="AF3" s="3">
        <v>-21.035123858982864</v>
      </c>
      <c r="AG3" s="3">
        <v>-12.171014905092534</v>
      </c>
    </row>
    <row r="4" spans="1:33">
      <c r="A4">
        <v>3</v>
      </c>
      <c r="B4">
        <v>2022</v>
      </c>
      <c r="C4">
        <v>1</v>
      </c>
      <c r="D4">
        <v>3</v>
      </c>
      <c r="E4" t="s">
        <v>12</v>
      </c>
      <c r="F4" t="s">
        <v>12</v>
      </c>
      <c r="G4" t="s">
        <v>13</v>
      </c>
      <c r="H4" t="s">
        <v>13</v>
      </c>
      <c r="I4" t="s">
        <v>13</v>
      </c>
      <c r="J4">
        <v>3278.9</v>
      </c>
      <c r="K4">
        <v>1862.1</v>
      </c>
      <c r="L4">
        <v>48.5</v>
      </c>
      <c r="M4">
        <f t="shared" si="0"/>
        <v>5189.5</v>
      </c>
      <c r="N4" s="3">
        <v>18.223212727321666</v>
      </c>
      <c r="O4" s="3">
        <v>30.979461636446842</v>
      </c>
      <c r="P4" s="3">
        <v>12.14880848488111</v>
      </c>
      <c r="Q4" s="3">
        <v>24.783569309157475</v>
      </c>
      <c r="R4" s="3">
        <v>37.10684484849709</v>
      </c>
      <c r="S4" s="3">
        <v>43.393853239423066</v>
      </c>
      <c r="T4" s="3">
        <v>28.626458333333336</v>
      </c>
      <c r="U4" s="3">
        <v>7.107708333333334</v>
      </c>
      <c r="V4" s="3">
        <v>0</v>
      </c>
      <c r="W4" s="3">
        <v>13.041666666666668</v>
      </c>
      <c r="X4" s="3">
        <v>4.6950000000000003</v>
      </c>
      <c r="Y4" s="3">
        <v>3.3908333333333336</v>
      </c>
      <c r="Z4" s="3">
        <v>0.39125000000000004</v>
      </c>
      <c r="AA4" s="3">
        <v>0</v>
      </c>
      <c r="AB4" s="3">
        <v>28.626458333333336</v>
      </c>
      <c r="AC4" s="3">
        <v>1.67875</v>
      </c>
      <c r="AD4" s="3">
        <v>-18.883632121175424</v>
      </c>
      <c r="AE4" s="3">
        <v>-12.414391602976224</v>
      </c>
      <c r="AF4" s="3">
        <v>-24.958036363615982</v>
      </c>
      <c r="AG4" s="3">
        <v>-18.610283930265592</v>
      </c>
    </row>
    <row r="5" spans="1:33">
      <c r="A5">
        <v>4</v>
      </c>
      <c r="B5">
        <v>2022</v>
      </c>
      <c r="C5">
        <v>1</v>
      </c>
      <c r="D5">
        <v>4</v>
      </c>
      <c r="E5" t="s">
        <v>12</v>
      </c>
      <c r="F5" t="s">
        <v>12</v>
      </c>
      <c r="G5" t="s">
        <v>13</v>
      </c>
      <c r="H5" t="s">
        <v>13</v>
      </c>
      <c r="I5" t="s">
        <v>13</v>
      </c>
      <c r="J5">
        <v>3817.4</v>
      </c>
      <c r="K5">
        <v>4125.3</v>
      </c>
      <c r="L5">
        <v>56.7</v>
      </c>
      <c r="M5">
        <f t="shared" si="0"/>
        <v>7999.4000000000005</v>
      </c>
      <c r="N5" s="3">
        <v>24.701339222262487</v>
      </c>
      <c r="O5" s="3">
        <v>41.992276677846235</v>
      </c>
      <c r="P5" s="3">
        <v>16.467559481508324</v>
      </c>
      <c r="Q5" s="3">
        <v>33.593821342276989</v>
      </c>
      <c r="R5" s="3">
        <v>45.312418138898956</v>
      </c>
      <c r="S5" s="3">
        <v>53.834380170579522</v>
      </c>
      <c r="T5" s="3">
        <v>35.212500000000006</v>
      </c>
      <c r="U5" s="3">
        <v>7.107708333333334</v>
      </c>
      <c r="V5" s="3">
        <v>0</v>
      </c>
      <c r="W5" s="3">
        <v>18.519166666666667</v>
      </c>
      <c r="X5" s="3">
        <v>5.4775000000000009</v>
      </c>
      <c r="Y5" s="3">
        <v>3.6516666666666673</v>
      </c>
      <c r="Z5" s="3">
        <v>0.45645833333333341</v>
      </c>
      <c r="AA5" s="3">
        <v>0</v>
      </c>
      <c r="AB5" s="3">
        <v>35.212500000000006</v>
      </c>
      <c r="AC5" s="3">
        <v>1.67875</v>
      </c>
      <c r="AD5" s="3">
        <v>-20.611078916636469</v>
      </c>
      <c r="AE5" s="3">
        <v>-11.842103492733287</v>
      </c>
      <c r="AF5" s="3">
        <v>-28.844858657390631</v>
      </c>
      <c r="AG5" s="3">
        <v>-20.240558828302532</v>
      </c>
    </row>
    <row r="6" spans="1:33">
      <c r="A6">
        <v>5</v>
      </c>
      <c r="B6">
        <v>2022</v>
      </c>
      <c r="C6">
        <v>2</v>
      </c>
      <c r="D6">
        <v>1</v>
      </c>
      <c r="E6" t="s">
        <v>12</v>
      </c>
      <c r="F6" t="s">
        <v>12</v>
      </c>
      <c r="G6" t="s">
        <v>12</v>
      </c>
      <c r="H6" t="s">
        <v>13</v>
      </c>
      <c r="I6" t="s">
        <v>13</v>
      </c>
      <c r="J6">
        <v>2610.8000000000002</v>
      </c>
      <c r="K6">
        <v>3185.6</v>
      </c>
      <c r="L6">
        <v>62.5</v>
      </c>
      <c r="M6">
        <f t="shared" si="0"/>
        <v>5858.9</v>
      </c>
      <c r="N6" s="3">
        <v>17.612371323618163</v>
      </c>
      <c r="O6" s="3">
        <v>29.941031250150882</v>
      </c>
      <c r="P6" s="3">
        <v>11.741580882412109</v>
      </c>
      <c r="Q6" s="3">
        <v>23.952825000120708</v>
      </c>
      <c r="R6" s="3">
        <v>37.361217830904536</v>
      </c>
      <c r="S6" s="3">
        <v>43.437485937552808</v>
      </c>
      <c r="T6" s="3">
        <v>26.14854166666667</v>
      </c>
      <c r="U6" s="3">
        <v>7.107708333333334</v>
      </c>
      <c r="V6" s="3">
        <v>0.39125000000000004</v>
      </c>
      <c r="W6" s="3">
        <v>11.998333333333335</v>
      </c>
      <c r="X6" s="3">
        <v>3.9125000000000005</v>
      </c>
      <c r="Y6" s="3">
        <v>2.3475000000000001</v>
      </c>
      <c r="Z6" s="3">
        <v>0.39125000000000004</v>
      </c>
      <c r="AA6" s="3">
        <v>0</v>
      </c>
      <c r="AB6" s="3">
        <v>26.14854166666667</v>
      </c>
      <c r="AC6" s="3">
        <v>4.5637499999999998</v>
      </c>
      <c r="AD6" s="3">
        <v>-19.748846507286373</v>
      </c>
      <c r="AE6" s="3">
        <v>-13.496454687401926</v>
      </c>
      <c r="AF6" s="3">
        <v>-25.619636948492428</v>
      </c>
      <c r="AG6" s="3">
        <v>-19.4846609374321</v>
      </c>
    </row>
    <row r="7" spans="1:33">
      <c r="A7">
        <v>6</v>
      </c>
      <c r="B7">
        <v>2022</v>
      </c>
      <c r="C7">
        <v>2</v>
      </c>
      <c r="D7">
        <v>2</v>
      </c>
      <c r="E7" t="s">
        <v>12</v>
      </c>
      <c r="F7" t="s">
        <v>12</v>
      </c>
      <c r="G7" t="s">
        <v>12</v>
      </c>
      <c r="H7" t="s">
        <v>13</v>
      </c>
      <c r="I7" t="s">
        <v>13</v>
      </c>
      <c r="J7">
        <v>2854.6</v>
      </c>
      <c r="K7">
        <v>2558.4999999999995</v>
      </c>
      <c r="L7">
        <v>25.5</v>
      </c>
      <c r="M7">
        <f t="shared" si="0"/>
        <v>5438.5999999999995</v>
      </c>
      <c r="N7" s="3">
        <v>17.484295425868822</v>
      </c>
      <c r="O7" s="3">
        <v>29.723302223977001</v>
      </c>
      <c r="P7" s="3">
        <v>11.656196950579215</v>
      </c>
      <c r="Q7" s="3">
        <v>23.778641779181601</v>
      </c>
      <c r="R7" s="3">
        <v>43.915240523133875</v>
      </c>
      <c r="S7" s="3">
        <v>49.947322445058617</v>
      </c>
      <c r="T7" s="3">
        <v>32.734583333333333</v>
      </c>
      <c r="U7" s="3">
        <v>7.107708333333334</v>
      </c>
      <c r="V7" s="3">
        <v>0.39125000000000004</v>
      </c>
      <c r="W7" s="3">
        <v>18.258333333333336</v>
      </c>
      <c r="X7" s="3">
        <v>4.434166666666667</v>
      </c>
      <c r="Y7" s="3">
        <v>2.0866666666666669</v>
      </c>
      <c r="Z7" s="3">
        <v>0.45645833333333341</v>
      </c>
      <c r="AA7" s="3">
        <v>0</v>
      </c>
      <c r="AB7" s="3">
        <v>32.734583333333333</v>
      </c>
      <c r="AC7" s="3">
        <v>4.5637499999999998</v>
      </c>
      <c r="AD7" s="3">
        <v>-26.430945097265052</v>
      </c>
      <c r="AE7" s="3">
        <v>-20.224020221081616</v>
      </c>
      <c r="AF7" s="3">
        <v>-32.25904357255466</v>
      </c>
      <c r="AG7" s="3">
        <v>-26.168680665877016</v>
      </c>
    </row>
    <row r="8" spans="1:33">
      <c r="A8">
        <v>7</v>
      </c>
      <c r="B8">
        <v>2022</v>
      </c>
      <c r="C8">
        <v>2</v>
      </c>
      <c r="D8">
        <v>3</v>
      </c>
      <c r="E8" t="s">
        <v>12</v>
      </c>
      <c r="F8" t="s">
        <v>12</v>
      </c>
      <c r="G8" t="s">
        <v>12</v>
      </c>
      <c r="H8" t="s">
        <v>13</v>
      </c>
      <c r="I8" t="s">
        <v>13</v>
      </c>
      <c r="J8">
        <v>2594.8000000000002</v>
      </c>
      <c r="K8">
        <v>4424.3</v>
      </c>
      <c r="L8">
        <v>54.2</v>
      </c>
      <c r="M8">
        <f t="shared" si="0"/>
        <v>7073.3</v>
      </c>
      <c r="N8" s="3">
        <v>19.720933026276434</v>
      </c>
      <c r="O8" s="3">
        <v>33.525586144669944</v>
      </c>
      <c r="P8" s="3">
        <v>13.147288684184289</v>
      </c>
      <c r="Q8" s="3">
        <v>26.820468915735958</v>
      </c>
      <c r="R8" s="3">
        <v>43.300649923235781</v>
      </c>
      <c r="S8" s="3">
        <v>50.10437181730115</v>
      </c>
      <c r="T8" s="3">
        <v>31.560833333333338</v>
      </c>
      <c r="U8" s="3">
        <v>7.107708333333334</v>
      </c>
      <c r="V8" s="3">
        <v>0.39125000000000004</v>
      </c>
      <c r="W8" s="3">
        <v>16.954166666666669</v>
      </c>
      <c r="X8" s="3">
        <v>4.1733333333333338</v>
      </c>
      <c r="Y8" s="3">
        <v>2.6083333333333334</v>
      </c>
      <c r="Z8" s="3">
        <v>0.32604166666666667</v>
      </c>
      <c r="AA8" s="3">
        <v>0</v>
      </c>
      <c r="AB8" s="3">
        <v>31.560833333333338</v>
      </c>
      <c r="AC8" s="3">
        <v>4.5637499999999998</v>
      </c>
      <c r="AD8" s="3">
        <v>-23.579716896959347</v>
      </c>
      <c r="AE8" s="3">
        <v>-16.578785672631206</v>
      </c>
      <c r="AF8" s="3">
        <v>-30.153361239051492</v>
      </c>
      <c r="AG8" s="3">
        <v>-23.283902901565192</v>
      </c>
    </row>
    <row r="9" spans="1:33">
      <c r="A9">
        <v>8</v>
      </c>
      <c r="B9">
        <v>2022</v>
      </c>
      <c r="C9">
        <v>2</v>
      </c>
      <c r="D9">
        <v>4</v>
      </c>
      <c r="E9" t="s">
        <v>12</v>
      </c>
      <c r="F9" t="s">
        <v>12</v>
      </c>
      <c r="G9" t="s">
        <v>12</v>
      </c>
      <c r="H9" t="s">
        <v>13</v>
      </c>
      <c r="I9" t="s">
        <v>13</v>
      </c>
      <c r="J9">
        <v>3891.4</v>
      </c>
      <c r="K9">
        <v>2473.9</v>
      </c>
      <c r="L9">
        <v>30.4</v>
      </c>
      <c r="M9">
        <f>SUM(J9:L9)</f>
        <v>6395.7</v>
      </c>
      <c r="N9" s="3">
        <v>22.016840252405476</v>
      </c>
      <c r="O9" s="3">
        <v>37.428628429089315</v>
      </c>
      <c r="P9" s="3">
        <v>14.67789350160365</v>
      </c>
      <c r="Q9" s="3">
        <v>29.942902743271453</v>
      </c>
      <c r="R9" s="3">
        <v>40.092543396434699</v>
      </c>
      <c r="S9" s="3">
        <v>47.688353283514587</v>
      </c>
      <c r="T9" s="3">
        <v>27.778750000000006</v>
      </c>
      <c r="U9" s="3">
        <v>7.107708333333334</v>
      </c>
      <c r="V9" s="3">
        <v>0.39125000000000004</v>
      </c>
      <c r="W9" s="3">
        <v>11.737500000000001</v>
      </c>
      <c r="X9" s="3">
        <v>6.2600000000000007</v>
      </c>
      <c r="Y9" s="3">
        <v>1.8258333333333336</v>
      </c>
      <c r="Z9" s="3">
        <v>0.45645833333333341</v>
      </c>
      <c r="AA9" s="3">
        <v>0</v>
      </c>
      <c r="AB9" s="3">
        <v>27.778750000000006</v>
      </c>
      <c r="AC9" s="3">
        <v>4.5637499999999998</v>
      </c>
      <c r="AD9" s="3">
        <v>-18.075703144029223</v>
      </c>
      <c r="AE9" s="3">
        <v>-10.259724854425272</v>
      </c>
      <c r="AF9" s="3">
        <v>-25.414649894831051</v>
      </c>
      <c r="AG9" s="3">
        <v>-17.745450540243134</v>
      </c>
    </row>
    <row r="10" spans="1:33">
      <c r="A10">
        <v>9</v>
      </c>
      <c r="B10">
        <v>2022</v>
      </c>
      <c r="C10">
        <v>3</v>
      </c>
      <c r="D10">
        <v>1</v>
      </c>
      <c r="E10" t="s">
        <v>13</v>
      </c>
      <c r="F10" t="s">
        <v>12</v>
      </c>
      <c r="G10" t="s">
        <v>12</v>
      </c>
      <c r="H10" t="s">
        <v>12</v>
      </c>
      <c r="I10" t="s">
        <v>13</v>
      </c>
      <c r="J10">
        <v>2536.1999999999998</v>
      </c>
      <c r="K10">
        <v>1919.1999999999998</v>
      </c>
      <c r="L10">
        <v>42.1</v>
      </c>
      <c r="M10">
        <f t="shared" si="0"/>
        <v>4497.5</v>
      </c>
      <c r="N10" s="3">
        <v>27.399331695107655</v>
      </c>
      <c r="O10" s="3">
        <v>49.318797051193783</v>
      </c>
      <c r="P10" s="3">
        <v>18.26622113007177</v>
      </c>
      <c r="Q10" s="3">
        <v>39.455037640955027</v>
      </c>
      <c r="R10" s="3">
        <v>64.443582923776916</v>
      </c>
      <c r="S10" s="3">
        <v>74.855328967917828</v>
      </c>
      <c r="T10" s="3">
        <v>32.212916666666665</v>
      </c>
      <c r="U10" s="3">
        <v>8.4118750000000002</v>
      </c>
      <c r="V10" s="3">
        <v>0.39125000000000004</v>
      </c>
      <c r="W10" s="3">
        <v>17.736666666666668</v>
      </c>
      <c r="X10" s="3">
        <v>3.9125000000000005</v>
      </c>
      <c r="Y10" s="3">
        <v>1.3041666666666667</v>
      </c>
      <c r="Z10" s="3">
        <v>0.45645833333333341</v>
      </c>
      <c r="AA10" s="3">
        <v>0</v>
      </c>
      <c r="AB10" s="3">
        <v>32.212916666666665</v>
      </c>
      <c r="AC10" s="3">
        <v>23.134999999999998</v>
      </c>
      <c r="AD10" s="3">
        <v>-37.04425122866926</v>
      </c>
      <c r="AE10" s="3">
        <v>-25.536531916724044</v>
      </c>
      <c r="AF10" s="3">
        <v>-46.177361793705145</v>
      </c>
      <c r="AG10" s="3">
        <v>-35.400291326962801</v>
      </c>
    </row>
    <row r="11" spans="1:33">
      <c r="A11">
        <v>10</v>
      </c>
      <c r="B11">
        <v>2022</v>
      </c>
      <c r="C11">
        <v>3</v>
      </c>
      <c r="D11">
        <v>2</v>
      </c>
      <c r="E11" t="s">
        <v>13</v>
      </c>
      <c r="F11" t="s">
        <v>12</v>
      </c>
      <c r="G11" t="s">
        <v>12</v>
      </c>
      <c r="H11" t="s">
        <v>12</v>
      </c>
      <c r="I11" t="s">
        <v>13</v>
      </c>
      <c r="J11">
        <v>2176</v>
      </c>
      <c r="K11">
        <v>2085.1999999999998</v>
      </c>
      <c r="L11">
        <v>38.200000000000003</v>
      </c>
      <c r="M11">
        <f t="shared" si="0"/>
        <v>4299.3999999999996</v>
      </c>
      <c r="N11" s="3">
        <v>25.537684419162517</v>
      </c>
      <c r="O11" s="3">
        <v>45.967831954492539</v>
      </c>
      <c r="P11" s="3">
        <v>17.025122946108343</v>
      </c>
      <c r="Q11" s="3">
        <v>36.774265563594035</v>
      </c>
      <c r="R11" s="3">
        <v>66.912546104790636</v>
      </c>
      <c r="S11" s="3">
        <v>76.616866184072393</v>
      </c>
      <c r="T11" s="3">
        <v>35.147291666666668</v>
      </c>
      <c r="U11" s="3">
        <v>8.4118750000000002</v>
      </c>
      <c r="V11" s="3">
        <v>0.39125000000000004</v>
      </c>
      <c r="W11" s="3">
        <v>21.127500000000001</v>
      </c>
      <c r="X11" s="3">
        <v>3.3908333333333336</v>
      </c>
      <c r="Y11" s="3">
        <v>1.3041666666666667</v>
      </c>
      <c r="Z11" s="3">
        <v>0.52166666666666672</v>
      </c>
      <c r="AA11" s="3">
        <v>0</v>
      </c>
      <c r="AB11" s="3">
        <v>35.147291666666668</v>
      </c>
      <c r="AC11" s="3">
        <v>23.134999999999998</v>
      </c>
      <c r="AD11" s="3">
        <v>-41.374861685628119</v>
      </c>
      <c r="AE11" s="3">
        <v>-30.649034229579854</v>
      </c>
      <c r="AF11" s="3">
        <v>-49.887423158682296</v>
      </c>
      <c r="AG11" s="3">
        <v>-39.842600620478358</v>
      </c>
    </row>
    <row r="12" spans="1:33">
      <c r="A12">
        <v>11</v>
      </c>
      <c r="B12">
        <v>2022</v>
      </c>
      <c r="C12">
        <v>3</v>
      </c>
      <c r="D12">
        <v>3</v>
      </c>
      <c r="E12" t="s">
        <v>13</v>
      </c>
      <c r="F12" t="s">
        <v>12</v>
      </c>
      <c r="G12" t="s">
        <v>12</v>
      </c>
      <c r="H12" t="s">
        <v>12</v>
      </c>
      <c r="I12" t="s">
        <v>13</v>
      </c>
      <c r="J12">
        <v>4021.8</v>
      </c>
      <c r="K12">
        <v>3142.1000000000004</v>
      </c>
      <c r="L12">
        <v>58.1</v>
      </c>
      <c r="M12">
        <f t="shared" si="0"/>
        <v>7222.0000000000009</v>
      </c>
      <c r="N12" s="3">
        <v>43.840956583991925</v>
      </c>
      <c r="O12" s="3">
        <v>78.913721851185471</v>
      </c>
      <c r="P12" s="3">
        <v>29.227304389327948</v>
      </c>
      <c r="Q12" s="3">
        <v>63.130977480948381</v>
      </c>
      <c r="R12" s="3">
        <v>63.141697479331313</v>
      </c>
      <c r="S12" s="3">
        <v>79.801260981248248</v>
      </c>
      <c r="T12" s="3">
        <v>26.800625000000004</v>
      </c>
      <c r="U12" s="3">
        <v>8.4118750000000002</v>
      </c>
      <c r="V12" s="3">
        <v>0.39125000000000004</v>
      </c>
      <c r="W12" s="3">
        <v>9.39</v>
      </c>
      <c r="X12" s="3">
        <v>6.2600000000000007</v>
      </c>
      <c r="Y12" s="3">
        <v>1.8258333333333336</v>
      </c>
      <c r="Z12" s="3">
        <v>0.52166666666666672</v>
      </c>
      <c r="AA12" s="3">
        <v>0</v>
      </c>
      <c r="AB12" s="3">
        <v>26.800625000000004</v>
      </c>
      <c r="AC12" s="3">
        <v>23.134999999999998</v>
      </c>
      <c r="AD12" s="3">
        <v>-19.300740895339388</v>
      </c>
      <c r="AE12" s="3">
        <v>-0.88753913006277685</v>
      </c>
      <c r="AF12" s="3">
        <v>-33.914393090003365</v>
      </c>
      <c r="AG12" s="3">
        <v>-16.670283500299867</v>
      </c>
    </row>
    <row r="13" spans="1:33">
      <c r="A13">
        <v>12</v>
      </c>
      <c r="B13">
        <v>2022</v>
      </c>
      <c r="C13">
        <v>3</v>
      </c>
      <c r="D13">
        <v>4</v>
      </c>
      <c r="E13" t="s">
        <v>13</v>
      </c>
      <c r="F13" t="s">
        <v>12</v>
      </c>
      <c r="G13" t="s">
        <v>12</v>
      </c>
      <c r="H13" t="s">
        <v>12</v>
      </c>
      <c r="I13" t="s">
        <v>13</v>
      </c>
      <c r="J13">
        <v>3052.1000000000004</v>
      </c>
      <c r="K13">
        <v>1884.5</v>
      </c>
      <c r="L13">
        <v>58.2</v>
      </c>
      <c r="M13">
        <f t="shared" si="0"/>
        <v>4994.8</v>
      </c>
      <c r="N13" s="3">
        <v>31.07302488355349</v>
      </c>
      <c r="O13" s="3">
        <v>55.931444790396284</v>
      </c>
      <c r="P13" s="3">
        <v>20.715349922368993</v>
      </c>
      <c r="Q13" s="3">
        <v>44.745155832317032</v>
      </c>
      <c r="R13" s="3">
        <v>67.187839554221711</v>
      </c>
      <c r="S13" s="3">
        <v>78.995589009972036</v>
      </c>
      <c r="T13" s="3">
        <v>34.03875</v>
      </c>
      <c r="U13" s="3">
        <v>8.4118750000000002</v>
      </c>
      <c r="V13" s="3">
        <v>0.39125000000000004</v>
      </c>
      <c r="W13" s="3">
        <v>19.562500000000004</v>
      </c>
      <c r="X13" s="3">
        <v>4.1733333333333338</v>
      </c>
      <c r="Y13" s="3">
        <v>1.0433333333333334</v>
      </c>
      <c r="Z13" s="3">
        <v>0.45645833333333341</v>
      </c>
      <c r="AA13" s="3">
        <v>0</v>
      </c>
      <c r="AB13" s="3">
        <v>34.03875</v>
      </c>
      <c r="AC13" s="3">
        <v>23.134999999999998</v>
      </c>
      <c r="AD13" s="3">
        <v>-36.114814670668224</v>
      </c>
      <c r="AE13" s="3">
        <v>-23.064144219575752</v>
      </c>
      <c r="AF13" s="3">
        <v>-46.472489631852717</v>
      </c>
      <c r="AG13" s="3">
        <v>-34.250433177655005</v>
      </c>
    </row>
    <row r="14" spans="1:33">
      <c r="A14">
        <v>13</v>
      </c>
      <c r="B14">
        <v>2022</v>
      </c>
      <c r="C14">
        <v>4</v>
      </c>
      <c r="D14">
        <v>1</v>
      </c>
      <c r="E14" t="s">
        <v>13</v>
      </c>
      <c r="F14" t="s">
        <v>12</v>
      </c>
      <c r="G14" t="s">
        <v>12</v>
      </c>
      <c r="H14" t="s">
        <v>12</v>
      </c>
      <c r="I14" t="s">
        <v>12</v>
      </c>
      <c r="J14">
        <v>3237.7</v>
      </c>
      <c r="K14">
        <v>2724.2</v>
      </c>
      <c r="L14">
        <v>47.8</v>
      </c>
      <c r="M14">
        <f t="shared" si="0"/>
        <v>6009.7</v>
      </c>
      <c r="N14" s="3">
        <v>36.19538353345758</v>
      </c>
      <c r="O14" s="3">
        <v>65.151690360223654</v>
      </c>
      <c r="P14" s="3">
        <v>24.130255688971719</v>
      </c>
      <c r="Q14" s="3">
        <v>52.121352288178926</v>
      </c>
      <c r="R14" s="3">
        <v>60.839054216697726</v>
      </c>
      <c r="S14" s="3">
        <v>74.59329995941161</v>
      </c>
      <c r="T14" s="3">
        <v>26.409375000000001</v>
      </c>
      <c r="U14" s="3">
        <v>8.4118750000000002</v>
      </c>
      <c r="V14" s="3">
        <v>0.39125000000000004</v>
      </c>
      <c r="W14" s="3">
        <v>10.955000000000002</v>
      </c>
      <c r="X14" s="3">
        <v>4.9558333333333335</v>
      </c>
      <c r="Y14" s="3">
        <v>1.3041666666666667</v>
      </c>
      <c r="Z14" s="3">
        <v>0.39125000000000004</v>
      </c>
      <c r="AA14" s="3">
        <v>0</v>
      </c>
      <c r="AB14" s="3">
        <v>26.409375000000001</v>
      </c>
      <c r="AC14" s="3">
        <v>23.134999999999998</v>
      </c>
      <c r="AD14" s="3">
        <v>-24.643670683240146</v>
      </c>
      <c r="AE14" s="3">
        <v>-9.4416095991879558</v>
      </c>
      <c r="AF14" s="3">
        <v>-36.708798527726003</v>
      </c>
      <c r="AG14" s="3">
        <v>-22.471947671232684</v>
      </c>
    </row>
    <row r="15" spans="1:33">
      <c r="A15">
        <v>14</v>
      </c>
      <c r="B15">
        <v>2022</v>
      </c>
      <c r="C15">
        <v>4</v>
      </c>
      <c r="D15">
        <v>2</v>
      </c>
      <c r="E15" t="s">
        <v>13</v>
      </c>
      <c r="F15" t="s">
        <v>12</v>
      </c>
      <c r="G15" t="s">
        <v>12</v>
      </c>
      <c r="H15" t="s">
        <v>12</v>
      </c>
      <c r="I15" t="s">
        <v>12</v>
      </c>
      <c r="J15">
        <v>1689</v>
      </c>
      <c r="K15">
        <v>2435.8999999999996</v>
      </c>
      <c r="L15">
        <v>36.4</v>
      </c>
      <c r="M15">
        <f t="shared" si="0"/>
        <v>4161.2999999999993</v>
      </c>
      <c r="N15" s="3">
        <v>23.625374474442765</v>
      </c>
      <c r="O15" s="3">
        <v>42.52567405399698</v>
      </c>
      <c r="P15" s="3">
        <v>15.750249649628509</v>
      </c>
      <c r="Q15" s="3">
        <v>34.020539243197582</v>
      </c>
      <c r="R15" s="3">
        <v>71.651135285277348</v>
      </c>
      <c r="S15" s="3">
        <v>80.628777585565601</v>
      </c>
      <c r="T15" s="3">
        <v>40.363958333333336</v>
      </c>
      <c r="U15" s="3">
        <v>8.4118750000000002</v>
      </c>
      <c r="V15" s="3">
        <v>0.39125000000000004</v>
      </c>
      <c r="W15" s="3">
        <v>26.865833333333335</v>
      </c>
      <c r="X15" s="3">
        <v>2.6083333333333334</v>
      </c>
      <c r="Y15" s="3">
        <v>1.5650000000000002</v>
      </c>
      <c r="Z15" s="3">
        <v>0.52166666666666672</v>
      </c>
      <c r="AA15" s="3">
        <v>0</v>
      </c>
      <c r="AB15" s="3">
        <v>40.363958333333336</v>
      </c>
      <c r="AC15" s="3">
        <v>23.134999999999998</v>
      </c>
      <c r="AD15" s="3">
        <v>-48.025760810834583</v>
      </c>
      <c r="AE15" s="3">
        <v>-38.103103531568621</v>
      </c>
      <c r="AF15" s="3">
        <v>-55.900885635648841</v>
      </c>
      <c r="AG15" s="3">
        <v>-46.608238342368018</v>
      </c>
    </row>
    <row r="16" spans="1:33">
      <c r="A16">
        <v>15</v>
      </c>
      <c r="B16">
        <v>2022</v>
      </c>
      <c r="C16">
        <v>4</v>
      </c>
      <c r="D16">
        <v>3</v>
      </c>
      <c r="E16" t="s">
        <v>13</v>
      </c>
      <c r="F16" t="s">
        <v>12</v>
      </c>
      <c r="G16" t="s">
        <v>12</v>
      </c>
      <c r="H16" t="s">
        <v>12</v>
      </c>
      <c r="I16" t="s">
        <v>12</v>
      </c>
      <c r="J16">
        <v>2599.9</v>
      </c>
      <c r="K16">
        <v>2611.1999999999998</v>
      </c>
      <c r="L16">
        <v>58.9</v>
      </c>
      <c r="M16">
        <f t="shared" si="0"/>
        <v>5270</v>
      </c>
      <c r="N16" s="3">
        <v>31.15679128376873</v>
      </c>
      <c r="O16" s="3">
        <v>56.082224310783708</v>
      </c>
      <c r="P16" s="3">
        <v>20.771194189179152</v>
      </c>
      <c r="Q16" s="3">
        <v>44.865779448626967</v>
      </c>
      <c r="R16" s="3">
        <v>55.145239487608855</v>
      </c>
      <c r="S16" s="3">
        <v>66.984820175440973</v>
      </c>
      <c r="T16" s="3">
        <v>21.975208333333335</v>
      </c>
      <c r="U16" s="3">
        <v>8.4118750000000002</v>
      </c>
      <c r="V16" s="3">
        <v>0.39125000000000004</v>
      </c>
      <c r="W16" s="3">
        <v>7.8250000000000011</v>
      </c>
      <c r="X16" s="3">
        <v>3.9125000000000005</v>
      </c>
      <c r="Y16" s="3">
        <v>1.0433333333333334</v>
      </c>
      <c r="Z16" s="3">
        <v>0.39125000000000004</v>
      </c>
      <c r="AA16" s="3">
        <v>0</v>
      </c>
      <c r="AB16" s="3">
        <v>21.975208333333335</v>
      </c>
      <c r="AC16" s="3">
        <v>23.134999999999998</v>
      </c>
      <c r="AD16" s="3">
        <v>-23.988448203840125</v>
      </c>
      <c r="AE16" s="3">
        <v>-10.902595864657265</v>
      </c>
      <c r="AF16" s="3">
        <v>-34.374045298429706</v>
      </c>
      <c r="AG16" s="3">
        <v>-22.119040726814006</v>
      </c>
    </row>
    <row r="17" spans="1:33">
      <c r="A17">
        <v>16</v>
      </c>
      <c r="B17">
        <v>2022</v>
      </c>
      <c r="C17">
        <v>4</v>
      </c>
      <c r="D17">
        <v>4</v>
      </c>
      <c r="E17" t="s">
        <v>13</v>
      </c>
      <c r="F17" t="s">
        <v>12</v>
      </c>
      <c r="G17" t="s">
        <v>12</v>
      </c>
      <c r="H17" t="s">
        <v>12</v>
      </c>
      <c r="I17" t="s">
        <v>12</v>
      </c>
      <c r="J17">
        <v>1565</v>
      </c>
      <c r="K17">
        <v>1262</v>
      </c>
      <c r="L17">
        <v>48.2</v>
      </c>
      <c r="M17">
        <f t="shared" si="0"/>
        <v>2875.2</v>
      </c>
      <c r="N17" s="3">
        <v>17.421545252183147</v>
      </c>
      <c r="O17" s="3">
        <v>31.358781453929662</v>
      </c>
      <c r="P17" s="3">
        <v>11.614363501455431</v>
      </c>
      <c r="Q17" s="3">
        <v>25.087025163143732</v>
      </c>
      <c r="R17" s="3">
        <v>76.751427979712446</v>
      </c>
      <c r="S17" s="3">
        <v>83.371615175542047</v>
      </c>
      <c r="T17" s="3">
        <v>47.015208333333348</v>
      </c>
      <c r="U17" s="3">
        <v>8.4118750000000002</v>
      </c>
      <c r="V17" s="3">
        <v>0.39125000000000004</v>
      </c>
      <c r="W17" s="3">
        <v>34.430000000000007</v>
      </c>
      <c r="X17" s="3">
        <v>2.3475000000000001</v>
      </c>
      <c r="Y17" s="3">
        <v>1.0433333333333334</v>
      </c>
      <c r="Z17" s="3">
        <v>0.39125000000000004</v>
      </c>
      <c r="AA17" s="3">
        <v>0</v>
      </c>
      <c r="AB17" s="3">
        <v>47.015208333333348</v>
      </c>
      <c r="AC17" s="3">
        <v>23.134999999999998</v>
      </c>
      <c r="AD17" s="3">
        <v>-59.329882727529295</v>
      </c>
      <c r="AE17" s="3">
        <v>-52.012833721612381</v>
      </c>
      <c r="AF17" s="3">
        <v>-65.137064478257017</v>
      </c>
      <c r="AG17" s="3">
        <v>-58.284590012398311</v>
      </c>
    </row>
    <row r="18" spans="1:33">
      <c r="A18">
        <v>17</v>
      </c>
      <c r="B18">
        <v>2022</v>
      </c>
      <c r="C18">
        <v>5</v>
      </c>
      <c r="D18">
        <v>1</v>
      </c>
      <c r="E18" t="s">
        <v>13</v>
      </c>
      <c r="F18" t="s">
        <v>13</v>
      </c>
      <c r="G18" t="s">
        <v>12</v>
      </c>
      <c r="H18" t="s">
        <v>12</v>
      </c>
      <c r="I18" t="s">
        <v>12</v>
      </c>
      <c r="J18">
        <v>1553.8</v>
      </c>
      <c r="K18">
        <v>1445.6999999999998</v>
      </c>
      <c r="L18">
        <v>79.8</v>
      </c>
      <c r="M18">
        <f t="shared" si="0"/>
        <v>3079.3</v>
      </c>
      <c r="N18" s="3">
        <v>18.408428695570873</v>
      </c>
      <c r="O18" s="3">
        <v>33.135171652027566</v>
      </c>
      <c r="P18" s="3">
        <v>12.272285797047248</v>
      </c>
      <c r="Q18" s="3">
        <v>26.508137321622055</v>
      </c>
      <c r="R18" s="3">
        <v>64.347732173892709</v>
      </c>
      <c r="S18" s="3">
        <v>71.342935078209649</v>
      </c>
      <c r="T18" s="3">
        <v>34.364791666666669</v>
      </c>
      <c r="U18" s="3">
        <v>8.4118750000000002</v>
      </c>
      <c r="V18" s="3">
        <v>0.39125000000000004</v>
      </c>
      <c r="W18" s="3">
        <v>21.127500000000001</v>
      </c>
      <c r="X18" s="3">
        <v>2.3475000000000001</v>
      </c>
      <c r="Y18" s="3">
        <v>1.5650000000000002</v>
      </c>
      <c r="Z18" s="3">
        <v>0.52166666666666672</v>
      </c>
      <c r="AA18" s="3">
        <v>0</v>
      </c>
      <c r="AB18" s="3">
        <v>34.364791666666669</v>
      </c>
      <c r="AC18" s="3">
        <v>23.134999999999998</v>
      </c>
      <c r="AD18" s="3">
        <v>-45.939303478321833</v>
      </c>
      <c r="AE18" s="3">
        <v>-38.207763426182083</v>
      </c>
      <c r="AF18" s="3">
        <v>-52.075446376845463</v>
      </c>
      <c r="AG18" s="3">
        <v>-44.834797756587591</v>
      </c>
    </row>
    <row r="19" spans="1:33">
      <c r="A19">
        <v>18</v>
      </c>
      <c r="B19">
        <v>2022</v>
      </c>
      <c r="C19">
        <v>5</v>
      </c>
      <c r="D19">
        <v>2</v>
      </c>
      <c r="E19" t="s">
        <v>13</v>
      </c>
      <c r="F19" t="s">
        <v>13</v>
      </c>
      <c r="G19" t="s">
        <v>12</v>
      </c>
      <c r="H19" t="s">
        <v>12</v>
      </c>
      <c r="I19" t="s">
        <v>12</v>
      </c>
      <c r="J19">
        <v>3377.8</v>
      </c>
      <c r="K19">
        <v>2696.2</v>
      </c>
      <c r="L19">
        <v>51.5</v>
      </c>
      <c r="M19">
        <f t="shared" si="0"/>
        <v>6125.5</v>
      </c>
      <c r="N19" s="3">
        <v>37.102920844986876</v>
      </c>
      <c r="O19" s="3">
        <v>66.785257520976373</v>
      </c>
      <c r="P19" s="3">
        <v>24.735280563324583</v>
      </c>
      <c r="Q19" s="3">
        <v>53.428206016781104</v>
      </c>
      <c r="R19" s="3">
        <v>59.370521877913383</v>
      </c>
      <c r="S19" s="3">
        <v>73.469631799008397</v>
      </c>
      <c r="T19" s="3">
        <v>24.713958333333338</v>
      </c>
      <c r="U19" s="3">
        <v>8.4118750000000002</v>
      </c>
      <c r="V19" s="3">
        <v>0.39125000000000004</v>
      </c>
      <c r="W19" s="3">
        <v>9.1291666666666682</v>
      </c>
      <c r="X19" s="3">
        <v>4.9558333333333335</v>
      </c>
      <c r="Y19" s="3">
        <v>1.3041666666666667</v>
      </c>
      <c r="Z19" s="3">
        <v>0.52166666666666672</v>
      </c>
      <c r="AA19" s="3">
        <v>0</v>
      </c>
      <c r="AB19" s="3">
        <v>24.713958333333338</v>
      </c>
      <c r="AC19" s="3">
        <v>23.134999999999998</v>
      </c>
      <c r="AD19" s="3">
        <v>-22.267601032926507</v>
      </c>
      <c r="AE19" s="3">
        <v>-6.6843742780320241</v>
      </c>
      <c r="AF19" s="3">
        <v>-34.635241314588797</v>
      </c>
      <c r="AG19" s="3">
        <v>-20.041425782227293</v>
      </c>
    </row>
    <row r="20" spans="1:33">
      <c r="A20">
        <v>19</v>
      </c>
      <c r="B20">
        <v>2022</v>
      </c>
      <c r="C20">
        <v>5</v>
      </c>
      <c r="D20">
        <v>3</v>
      </c>
      <c r="E20" t="s">
        <v>13</v>
      </c>
      <c r="F20" t="s">
        <v>13</v>
      </c>
      <c r="G20" t="s">
        <v>12</v>
      </c>
      <c r="H20" t="s">
        <v>12</v>
      </c>
      <c r="I20" t="s">
        <v>12</v>
      </c>
      <c r="J20">
        <v>1437.6</v>
      </c>
      <c r="K20">
        <v>1995.1999999999998</v>
      </c>
      <c r="L20">
        <v>58</v>
      </c>
      <c r="M20">
        <f t="shared" si="0"/>
        <v>3490.7999999999997</v>
      </c>
      <c r="N20" s="3">
        <v>19.941095570015868</v>
      </c>
      <c r="O20" s="3">
        <v>35.893972026028571</v>
      </c>
      <c r="P20" s="3">
        <v>13.294063713343911</v>
      </c>
      <c r="Q20" s="3">
        <v>28.715177620822857</v>
      </c>
      <c r="R20" s="3">
        <v>70.730065559170626</v>
      </c>
      <c r="S20" s="3">
        <v>78.307681875776652</v>
      </c>
      <c r="T20" s="3">
        <v>40.363958333333336</v>
      </c>
      <c r="U20" s="3">
        <v>8.4118750000000002</v>
      </c>
      <c r="V20" s="3">
        <v>0.39125000000000004</v>
      </c>
      <c r="W20" s="3">
        <v>27.648333333333337</v>
      </c>
      <c r="X20" s="3">
        <v>2.0866666666666669</v>
      </c>
      <c r="Y20" s="3">
        <v>1.3041666666666667</v>
      </c>
      <c r="Z20" s="3">
        <v>0.52166666666666672</v>
      </c>
      <c r="AA20" s="3">
        <v>0</v>
      </c>
      <c r="AB20" s="3">
        <v>40.363958333333336</v>
      </c>
      <c r="AC20" s="3">
        <v>23.134999999999998</v>
      </c>
      <c r="AD20" s="3">
        <v>-50.788969989154758</v>
      </c>
      <c r="AE20" s="3">
        <v>-42.413709849748081</v>
      </c>
      <c r="AF20" s="3">
        <v>-57.436001845826716</v>
      </c>
      <c r="AG20" s="3">
        <v>-49.592504254953795</v>
      </c>
    </row>
    <row r="21" spans="1:33">
      <c r="A21">
        <v>20</v>
      </c>
      <c r="B21">
        <v>2022</v>
      </c>
      <c r="C21">
        <v>5</v>
      </c>
      <c r="D21">
        <v>4</v>
      </c>
      <c r="E21" t="s">
        <v>13</v>
      </c>
      <c r="F21" t="s">
        <v>13</v>
      </c>
      <c r="G21" t="s">
        <v>12</v>
      </c>
      <c r="H21" t="s">
        <v>12</v>
      </c>
      <c r="I21" t="s">
        <v>12</v>
      </c>
      <c r="J21">
        <v>3500.6</v>
      </c>
      <c r="K21">
        <v>3023.2999999999997</v>
      </c>
      <c r="L21">
        <v>73.400000000000006</v>
      </c>
      <c r="M21">
        <f t="shared" si="0"/>
        <v>6597.2999999999993</v>
      </c>
      <c r="N21" s="3">
        <v>39.646022264439765</v>
      </c>
      <c r="O21" s="3">
        <v>71.362840075991585</v>
      </c>
      <c r="P21" s="3">
        <v>26.43068150962651</v>
      </c>
      <c r="Q21" s="3">
        <v>57.090272060793268</v>
      </c>
      <c r="R21" s="3">
        <v>60.267130566109941</v>
      </c>
      <c r="S21" s="3">
        <v>75.332619026597058</v>
      </c>
      <c r="T21" s="3">
        <v>24.974791666666668</v>
      </c>
      <c r="U21" s="3">
        <v>8.4118750000000002</v>
      </c>
      <c r="V21" s="3">
        <v>0.39125000000000004</v>
      </c>
      <c r="W21" s="3">
        <v>8.8683333333333341</v>
      </c>
      <c r="X21" s="3">
        <v>5.2166666666666668</v>
      </c>
      <c r="Y21" s="3">
        <v>1.3041666666666667</v>
      </c>
      <c r="Z21" s="3">
        <v>0.78250000000000008</v>
      </c>
      <c r="AA21" s="3">
        <v>0</v>
      </c>
      <c r="AB21" s="3">
        <v>24.974791666666668</v>
      </c>
      <c r="AC21" s="3">
        <v>23.134999999999998</v>
      </c>
      <c r="AD21" s="3">
        <v>-20.621108301670176</v>
      </c>
      <c r="AE21" s="3">
        <v>-3.9697789506054733</v>
      </c>
      <c r="AF21" s="3">
        <v>-33.836449056483431</v>
      </c>
      <c r="AG21" s="3">
        <v>-18.24234696580379</v>
      </c>
    </row>
    <row r="22" spans="1:33">
      <c r="A22">
        <v>21</v>
      </c>
      <c r="B22">
        <v>2023</v>
      </c>
      <c r="C22">
        <v>1</v>
      </c>
      <c r="D22">
        <v>1</v>
      </c>
      <c r="E22" t="s">
        <v>12</v>
      </c>
      <c r="F22" t="s">
        <v>12</v>
      </c>
      <c r="G22" t="s">
        <v>13</v>
      </c>
      <c r="H22" t="s">
        <v>13</v>
      </c>
      <c r="I22" t="s">
        <v>13</v>
      </c>
      <c r="J22">
        <v>4597.3</v>
      </c>
      <c r="K22">
        <v>3881.2</v>
      </c>
      <c r="L22">
        <v>537.79999999999995</v>
      </c>
      <c r="M22">
        <f t="shared" si="0"/>
        <v>9016.2999999999993</v>
      </c>
      <c r="N22" s="3" cm="1">
        <f t="array" ref="N22:N41">TRANSPOSE('Cost-Benefit Analysis 2023'!B10:U10)</f>
        <v>31.658315041763156</v>
      </c>
      <c r="O22" s="3" cm="1">
        <f t="array" ref="O22:O41">TRANSPOSE('Cost-Benefit Analysis 2023'!B11:U11)</f>
        <v>53.819135570997375</v>
      </c>
      <c r="P22" s="3" cm="1">
        <f t="array" ref="P22:P41">TRANSPOSE('Cost-Benefit Analysis 2023'!B12:U12)</f>
        <v>21.105543361175435</v>
      </c>
      <c r="Q22" s="3" cm="1">
        <f t="array" ref="Q22:Q41">TRANSPOSE('Cost-Benefit Analysis 2023'!B13:U13)</f>
        <v>43.055308456797903</v>
      </c>
      <c r="R22" s="3" cm="1">
        <f t="array" ref="R22:R41">TRANSPOSE('Cost-Benefit Analysis 2023'!B43:U43)</f>
        <v>76.924969385440789</v>
      </c>
      <c r="S22" s="3" cm="1">
        <f t="array" ref="S22:S41">TRANSPOSE('Cost-Benefit Analysis 2023'!B44:U44)</f>
        <v>87.847088074849083</v>
      </c>
      <c r="T22" s="3" cm="1">
        <f t="array" ref="T22:T41">TRANSPOSE('Cost-Benefit Analysis 2023'!B41:U41)</f>
        <v>60.465755208333334</v>
      </c>
      <c r="U22" s="3" cm="1">
        <f t="array" ref="U22:U41">TRANSPOSE('Cost-Benefit Analysis 2023'!B18:U18)</f>
        <v>5.1907552083333339</v>
      </c>
      <c r="V22" s="3" cm="1">
        <f t="array" ref="V22:V41">TRANSPOSE('Cost-Benefit Analysis 2023'!B26:U26)</f>
        <v>0</v>
      </c>
      <c r="W22" s="3" cm="1">
        <f t="array" ref="W22:W41">TRANSPOSE('Cost-Benefit Analysis 2023'!B28:U28)</f>
        <v>34.477083333333333</v>
      </c>
      <c r="X22" s="3" cm="1">
        <f t="array" ref="X22:X41">TRANSPOSE('Cost-Benefit Analysis 2023'!B30:U30)</f>
        <v>13.4</v>
      </c>
      <c r="Y22" s="3" cm="1">
        <f t="array" ref="Y22:Y41">TRANSPOSE('Cost-Benefit Analysis 2023'!B31:U31)</f>
        <v>4.3270833333333334</v>
      </c>
      <c r="Z22" s="3" cm="1">
        <f t="array" ref="Z22:Z41">TRANSPOSE('Cost-Benefit Analysis 2023'!B32:U32)</f>
        <v>3.0708333333333333</v>
      </c>
      <c r="AA22" s="3" cm="1">
        <f t="array" ref="AA22:AA41">TRANSPOSE('Cost-Benefit Analysis 2023'!B34:U34)</f>
        <v>0</v>
      </c>
      <c r="AB22" s="3" cm="1">
        <f t="array" ref="AB22:AB41">TRANSPOSE('Cost-Benefit Analysis 2023'!B42:U42)</f>
        <v>60.465755208333334</v>
      </c>
      <c r="AC22" s="3" cm="1">
        <f t="array" ref="AC22:AC41">TRANSPOSE('Cost-Benefit Analysis 2023'!B40:U40)</f>
        <v>1.67875</v>
      </c>
      <c r="AD22" s="3" cm="1">
        <f t="array" ref="AD22:AD41">TRANSPOSE('Cost-Benefit Analysis 2023'!B47:U47)</f>
        <v>-45.266654343677629</v>
      </c>
      <c r="AE22" s="3" cm="1">
        <f t="array" ref="AE22:AE41">TRANSPOSE('Cost-Benefit Analysis 2023'!B48:U48)</f>
        <v>-34.027952503851708</v>
      </c>
      <c r="AF22" s="3" cm="1">
        <f t="array" ref="AF22:AF41">TRANSPOSE('Cost-Benefit Analysis 2023'!B49:U49)</f>
        <v>-55.819426024265354</v>
      </c>
      <c r="AG22" s="3" cm="1">
        <f t="array" ref="AG22:AG41">TRANSPOSE('Cost-Benefit Analysis 2023'!B50:U50)</f>
        <v>-44.79177961805118</v>
      </c>
    </row>
    <row r="23" spans="1:33">
      <c r="A23">
        <v>22</v>
      </c>
      <c r="B23">
        <v>2023</v>
      </c>
      <c r="C23">
        <v>1</v>
      </c>
      <c r="D23">
        <v>2</v>
      </c>
      <c r="E23" t="s">
        <v>12</v>
      </c>
      <c r="F23" t="s">
        <v>12</v>
      </c>
      <c r="G23" t="s">
        <v>13</v>
      </c>
      <c r="H23" t="s">
        <v>13</v>
      </c>
      <c r="I23" t="s">
        <v>13</v>
      </c>
      <c r="J23">
        <v>5548.2000000000007</v>
      </c>
      <c r="K23">
        <v>6626.1999999999989</v>
      </c>
      <c r="L23">
        <v>1769.5</v>
      </c>
      <c r="M23">
        <f t="shared" si="0"/>
        <v>13943.9</v>
      </c>
      <c r="N23" s="3">
        <v>45.910288680561351</v>
      </c>
      <c r="O23" s="3">
        <v>78.047490756954318</v>
      </c>
      <c r="P23" s="3">
        <v>30.606859120374232</v>
      </c>
      <c r="Q23" s="3">
        <v>62.437992605563458</v>
      </c>
      <c r="R23" s="3">
        <v>75.788657239584779</v>
      </c>
      <c r="S23" s="3">
        <v>91.627706834378458</v>
      </c>
      <c r="T23" s="3">
        <v>55.76644965277778</v>
      </c>
      <c r="U23" s="3">
        <v>5.1907552083333339</v>
      </c>
      <c r="V23" s="3">
        <v>0</v>
      </c>
      <c r="W23" s="3">
        <v>26.218402777777779</v>
      </c>
      <c r="X23" s="3">
        <v>12.283333333333333</v>
      </c>
      <c r="Y23" s="3">
        <v>6.8395833333333336</v>
      </c>
      <c r="Z23" s="3">
        <v>5.234375</v>
      </c>
      <c r="AA23" s="3">
        <v>0</v>
      </c>
      <c r="AB23" s="3">
        <v>55.76644965277778</v>
      </c>
      <c r="AC23" s="3">
        <v>1.67875</v>
      </c>
      <c r="AD23" s="3">
        <v>-29.878368559023428</v>
      </c>
      <c r="AE23" s="3">
        <v>-13.58021607742414</v>
      </c>
      <c r="AF23" s="3">
        <v>-45.181798119210548</v>
      </c>
      <c r="AG23" s="3">
        <v>-29.189714228814999</v>
      </c>
    </row>
    <row r="24" spans="1:33">
      <c r="A24">
        <v>23</v>
      </c>
      <c r="B24">
        <v>2023</v>
      </c>
      <c r="C24">
        <v>1</v>
      </c>
      <c r="D24">
        <v>3</v>
      </c>
      <c r="E24" t="s">
        <v>12</v>
      </c>
      <c r="F24" t="s">
        <v>12</v>
      </c>
      <c r="G24" t="s">
        <v>13</v>
      </c>
      <c r="H24" t="s">
        <v>13</v>
      </c>
      <c r="I24" t="s">
        <v>13</v>
      </c>
      <c r="J24">
        <v>7776.3</v>
      </c>
      <c r="K24">
        <v>7038.2000000000007</v>
      </c>
      <c r="L24">
        <v>856.19999999999993</v>
      </c>
      <c r="M24">
        <f t="shared" si="0"/>
        <v>15670.7</v>
      </c>
      <c r="N24" s="3">
        <v>54.341692630323557</v>
      </c>
      <c r="O24" s="3">
        <v>92.380877471550079</v>
      </c>
      <c r="P24" s="3">
        <v>36.227795086882367</v>
      </c>
      <c r="Q24" s="3">
        <v>73.904701977240066</v>
      </c>
      <c r="R24" s="3">
        <v>73.313522115914225</v>
      </c>
      <c r="S24" s="3">
        <v>92.061406073375863</v>
      </c>
      <c r="T24" s="3">
        <v>51.183463541666676</v>
      </c>
      <c r="U24" s="3">
        <v>5.1907552083333339</v>
      </c>
      <c r="V24" s="3">
        <v>0</v>
      </c>
      <c r="W24" s="3">
        <v>22.193750000000001</v>
      </c>
      <c r="X24" s="3">
        <v>15.005208333333334</v>
      </c>
      <c r="Y24" s="3">
        <v>4.6760416666666664</v>
      </c>
      <c r="Z24" s="3">
        <v>4.1177083333333337</v>
      </c>
      <c r="AA24" s="3">
        <v>0</v>
      </c>
      <c r="AB24" s="3">
        <v>51.183463541666676</v>
      </c>
      <c r="AC24" s="3">
        <v>1.67875</v>
      </c>
      <c r="AD24" s="3">
        <v>-18.971829485590668</v>
      </c>
      <c r="AE24" s="3">
        <v>0.31947139817421544</v>
      </c>
      <c r="AF24" s="3">
        <v>-37.085727029031858</v>
      </c>
      <c r="AG24" s="3">
        <v>-18.156704096135797</v>
      </c>
    </row>
    <row r="25" spans="1:33">
      <c r="A25">
        <v>24</v>
      </c>
      <c r="B25">
        <v>2023</v>
      </c>
      <c r="C25">
        <v>1</v>
      </c>
      <c r="D25">
        <v>4</v>
      </c>
      <c r="E25" t="s">
        <v>12</v>
      </c>
      <c r="F25" t="s">
        <v>12</v>
      </c>
      <c r="G25" t="s">
        <v>13</v>
      </c>
      <c r="H25" t="s">
        <v>13</v>
      </c>
      <c r="I25" t="s">
        <v>13</v>
      </c>
      <c r="J25">
        <v>4944.3999999999996</v>
      </c>
      <c r="K25">
        <v>5829.2</v>
      </c>
      <c r="L25">
        <v>959.2</v>
      </c>
      <c r="M25">
        <f t="shared" si="0"/>
        <v>11732.8</v>
      </c>
      <c r="N25" s="3">
        <v>38.705457942337077</v>
      </c>
      <c r="O25" s="3">
        <v>65.799278501973035</v>
      </c>
      <c r="P25" s="3">
        <v>25.803638628224718</v>
      </c>
      <c r="Q25" s="3">
        <v>52.639422801578434</v>
      </c>
      <c r="R25" s="3">
        <v>75.008734277250937</v>
      </c>
      <c r="S25" s="3">
        <v>88.36211726735722</v>
      </c>
      <c r="T25" s="3">
        <v>56.787734374999999</v>
      </c>
      <c r="U25" s="3">
        <v>5.1907552083333339</v>
      </c>
      <c r="V25" s="3">
        <v>0</v>
      </c>
      <c r="W25" s="3">
        <v>30.170937500000001</v>
      </c>
      <c r="X25" s="3">
        <v>11.096875000000001</v>
      </c>
      <c r="Y25" s="3">
        <v>6.0020833333333332</v>
      </c>
      <c r="Z25" s="3">
        <v>4.3270833333333334</v>
      </c>
      <c r="AA25" s="3">
        <v>0</v>
      </c>
      <c r="AB25" s="3">
        <v>56.787734374999999</v>
      </c>
      <c r="AC25" s="3">
        <v>1.67875</v>
      </c>
      <c r="AD25" s="3">
        <v>-36.303276334913861</v>
      </c>
      <c r="AE25" s="3">
        <v>-22.562838765384186</v>
      </c>
      <c r="AF25" s="3">
        <v>-49.205095649026219</v>
      </c>
      <c r="AG25" s="3">
        <v>-35.722694465778787</v>
      </c>
    </row>
    <row r="26" spans="1:33">
      <c r="A26">
        <v>25</v>
      </c>
      <c r="B26">
        <v>2023</v>
      </c>
      <c r="C26">
        <v>2</v>
      </c>
      <c r="D26">
        <v>1</v>
      </c>
      <c r="E26" t="s">
        <v>12</v>
      </c>
      <c r="F26" t="s">
        <v>12</v>
      </c>
      <c r="G26" t="s">
        <v>12</v>
      </c>
      <c r="H26" t="s">
        <v>13</v>
      </c>
      <c r="I26" t="s">
        <v>13</v>
      </c>
      <c r="J26">
        <v>4342.5</v>
      </c>
      <c r="K26">
        <v>6182.4</v>
      </c>
      <c r="L26">
        <v>1879.1</v>
      </c>
      <c r="M26">
        <f t="shared" si="0"/>
        <v>12404</v>
      </c>
      <c r="N26" s="3">
        <v>39.616936898651971</v>
      </c>
      <c r="O26" s="3">
        <v>67.348792727708357</v>
      </c>
      <c r="P26" s="3">
        <v>26.411291265767979</v>
      </c>
      <c r="Q26" s="3">
        <v>53.879034182166691</v>
      </c>
      <c r="R26" s="3">
        <v>68.97540609966299</v>
      </c>
      <c r="S26" s="3">
        <v>82.643249329697923</v>
      </c>
      <c r="T26" s="3">
        <v>47.641536458333334</v>
      </c>
      <c r="U26" s="3">
        <v>5.1907552083333339</v>
      </c>
      <c r="V26" s="3">
        <v>0.41875000000000001</v>
      </c>
      <c r="W26" s="3">
        <v>21.792447916666667</v>
      </c>
      <c r="X26" s="3">
        <v>9.4916666666666671</v>
      </c>
      <c r="Y26" s="3">
        <v>5.5833333333333339</v>
      </c>
      <c r="Z26" s="3">
        <v>5.1645833333333337</v>
      </c>
      <c r="AA26" s="3">
        <v>0</v>
      </c>
      <c r="AB26" s="3">
        <v>47.641536458333334</v>
      </c>
      <c r="AC26" s="3">
        <v>4.5637499999999998</v>
      </c>
      <c r="AD26" s="3">
        <v>-29.358469201011019</v>
      </c>
      <c r="AE26" s="3">
        <v>-15.294456601989566</v>
      </c>
      <c r="AF26" s="3">
        <v>-42.564114833895012</v>
      </c>
      <c r="AG26" s="3">
        <v>-28.764215147531232</v>
      </c>
    </row>
    <row r="27" spans="1:33">
      <c r="A27">
        <v>26</v>
      </c>
      <c r="B27">
        <v>2023</v>
      </c>
      <c r="C27">
        <v>2</v>
      </c>
      <c r="D27">
        <v>2</v>
      </c>
      <c r="E27" t="s">
        <v>12</v>
      </c>
      <c r="F27" t="s">
        <v>12</v>
      </c>
      <c r="G27" t="s">
        <v>12</v>
      </c>
      <c r="H27" t="s">
        <v>13</v>
      </c>
      <c r="I27" t="s">
        <v>13</v>
      </c>
      <c r="J27">
        <v>7257.2999999999993</v>
      </c>
      <c r="K27">
        <v>4988.8999999999996</v>
      </c>
      <c r="L27">
        <v>751.2</v>
      </c>
      <c r="M27">
        <f t="shared" si="0"/>
        <v>12997.4</v>
      </c>
      <c r="N27" s="3">
        <v>47.318978932560078</v>
      </c>
      <c r="O27" s="3">
        <v>80.442264185352144</v>
      </c>
      <c r="P27" s="3">
        <v>31.545985955040052</v>
      </c>
      <c r="Q27" s="3">
        <v>64.353811348281724</v>
      </c>
      <c r="R27" s="3">
        <v>77.939406191473353</v>
      </c>
      <c r="S27" s="3">
        <v>94.264453923206588</v>
      </c>
      <c r="T27" s="3">
        <v>54.680026041666672</v>
      </c>
      <c r="U27" s="3">
        <v>5.1907552083333339</v>
      </c>
      <c r="V27" s="3">
        <v>0.41875000000000001</v>
      </c>
      <c r="W27" s="3">
        <v>24.783020833333335</v>
      </c>
      <c r="X27" s="3">
        <v>15.772916666666667</v>
      </c>
      <c r="Y27" s="3">
        <v>3.9781249999999999</v>
      </c>
      <c r="Z27" s="3">
        <v>4.536458333333333</v>
      </c>
      <c r="AA27" s="3">
        <v>0</v>
      </c>
      <c r="AB27" s="3">
        <v>54.680026041666672</v>
      </c>
      <c r="AC27" s="3">
        <v>4.5637499999999998</v>
      </c>
      <c r="AD27" s="3">
        <v>-30.620427258913274</v>
      </c>
      <c r="AE27" s="3">
        <v>-13.822189737854444</v>
      </c>
      <c r="AF27" s="3">
        <v>-46.3934202364333</v>
      </c>
      <c r="AG27" s="3">
        <v>-29.910642574924864</v>
      </c>
    </row>
    <row r="28" spans="1:33">
      <c r="A28">
        <v>27</v>
      </c>
      <c r="B28">
        <v>2023</v>
      </c>
      <c r="C28">
        <v>2</v>
      </c>
      <c r="D28">
        <v>3</v>
      </c>
      <c r="E28" t="s">
        <v>12</v>
      </c>
      <c r="F28" t="s">
        <v>12</v>
      </c>
      <c r="G28" t="s">
        <v>12</v>
      </c>
      <c r="H28" t="s">
        <v>13</v>
      </c>
      <c r="I28" t="s">
        <v>13</v>
      </c>
      <c r="J28">
        <v>6263.2</v>
      </c>
      <c r="K28">
        <v>4164</v>
      </c>
      <c r="L28">
        <v>1908.1</v>
      </c>
      <c r="M28">
        <f t="shared" si="0"/>
        <v>12335.300000000001</v>
      </c>
      <c r="N28" s="3">
        <v>44.734149187738758</v>
      </c>
      <c r="O28" s="3">
        <v>76.048053619155894</v>
      </c>
      <c r="P28" s="3">
        <v>29.82276612515917</v>
      </c>
      <c r="Q28" s="3">
        <v>60.838442895324718</v>
      </c>
      <c r="R28" s="3">
        <v>80.217469588601347</v>
      </c>
      <c r="S28" s="3">
        <v>95.650751058371213</v>
      </c>
      <c r="T28" s="3">
        <v>57.604296875000003</v>
      </c>
      <c r="U28" s="3">
        <v>5.1907552083333339</v>
      </c>
      <c r="V28" s="3">
        <v>0.41875000000000001</v>
      </c>
      <c r="W28" s="3">
        <v>28.684374999999999</v>
      </c>
      <c r="X28" s="3">
        <v>13.609375</v>
      </c>
      <c r="Y28" s="3">
        <v>4.3270833333333334</v>
      </c>
      <c r="Z28" s="3">
        <v>5.3739583333333334</v>
      </c>
      <c r="AA28" s="3">
        <v>0</v>
      </c>
      <c r="AB28" s="3">
        <v>57.604296875000003</v>
      </c>
      <c r="AC28" s="3">
        <v>4.5637499999999998</v>
      </c>
      <c r="AD28" s="3">
        <v>-35.483320400862588</v>
      </c>
      <c r="AE28" s="3">
        <v>-19.602697439215319</v>
      </c>
      <c r="AF28" s="3">
        <v>-50.394703463442177</v>
      </c>
      <c r="AG28" s="3">
        <v>-34.812308163046495</v>
      </c>
    </row>
    <row r="29" spans="1:33">
      <c r="A29">
        <v>28</v>
      </c>
      <c r="B29">
        <v>2023</v>
      </c>
      <c r="C29">
        <v>2</v>
      </c>
      <c r="D29">
        <v>4</v>
      </c>
      <c r="E29" t="s">
        <v>12</v>
      </c>
      <c r="F29" t="s">
        <v>12</v>
      </c>
      <c r="G29" t="s">
        <v>12</v>
      </c>
      <c r="H29" t="s">
        <v>13</v>
      </c>
      <c r="I29" t="s">
        <v>13</v>
      </c>
      <c r="J29">
        <v>6946.6</v>
      </c>
      <c r="K29">
        <v>6127.5</v>
      </c>
      <c r="L29">
        <v>1503.1999999999998</v>
      </c>
      <c r="M29">
        <f t="shared" si="0"/>
        <v>14577.3</v>
      </c>
      <c r="N29" s="3">
        <v>50.670181577348849</v>
      </c>
      <c r="O29" s="3">
        <v>86.13930868149302</v>
      </c>
      <c r="P29" s="3">
        <v>33.780121051565899</v>
      </c>
      <c r="Q29" s="3">
        <v>68.911446945194413</v>
      </c>
      <c r="R29" s="3">
        <v>79.747311019337218</v>
      </c>
      <c r="S29" s="3">
        <v>97.228523663522566</v>
      </c>
      <c r="T29" s="3">
        <v>55.650130208333337</v>
      </c>
      <c r="U29" s="3">
        <v>5.1907552083333339</v>
      </c>
      <c r="V29" s="3">
        <v>0.41875000000000001</v>
      </c>
      <c r="W29" s="3">
        <v>24.566666666666666</v>
      </c>
      <c r="X29" s="3">
        <v>14.028125000000001</v>
      </c>
      <c r="Y29" s="3">
        <v>7.3979166666666671</v>
      </c>
      <c r="Z29" s="3">
        <v>4.0479166666666666</v>
      </c>
      <c r="AA29" s="3">
        <v>0</v>
      </c>
      <c r="AB29" s="3">
        <v>55.650130208333337</v>
      </c>
      <c r="AC29" s="3">
        <v>4.5637499999999998</v>
      </c>
      <c r="AD29" s="3">
        <v>-29.077129441988369</v>
      </c>
      <c r="AE29" s="3">
        <v>-11.089214982029546</v>
      </c>
      <c r="AF29" s="3">
        <v>-45.967189967771318</v>
      </c>
      <c r="AG29" s="3">
        <v>-28.317076718328153</v>
      </c>
    </row>
    <row r="30" spans="1:33">
      <c r="A30">
        <v>29</v>
      </c>
      <c r="B30">
        <v>2023</v>
      </c>
      <c r="C30">
        <v>3</v>
      </c>
      <c r="D30">
        <v>1</v>
      </c>
      <c r="E30" t="s">
        <v>13</v>
      </c>
      <c r="F30" t="s">
        <v>12</v>
      </c>
      <c r="G30" t="s">
        <v>12</v>
      </c>
      <c r="H30" t="s">
        <v>12</v>
      </c>
      <c r="I30" t="s">
        <v>13</v>
      </c>
      <c r="J30">
        <v>4710.8999999999996</v>
      </c>
      <c r="K30">
        <v>5154.3</v>
      </c>
      <c r="L30">
        <v>327.29999999999995</v>
      </c>
      <c r="M30">
        <f t="shared" si="0"/>
        <v>10192.5</v>
      </c>
      <c r="N30" s="3">
        <v>66.323309406637506</v>
      </c>
      <c r="O30" s="3">
        <v>119.38195693194751</v>
      </c>
      <c r="P30" s="3">
        <v>44.215539604425004</v>
      </c>
      <c r="Q30" s="3">
        <v>95.505565545558014</v>
      </c>
      <c r="R30" s="3">
        <v>105.62283255999272</v>
      </c>
      <c r="S30" s="3">
        <v>130.82569013451496</v>
      </c>
      <c r="T30" s="3">
        <v>49.791119791666674</v>
      </c>
      <c r="U30" s="3">
        <v>6.586588541666667</v>
      </c>
      <c r="V30" s="3">
        <v>0.41875000000000001</v>
      </c>
      <c r="W30" s="3">
        <v>26.035781250000003</v>
      </c>
      <c r="X30" s="3">
        <v>10.259375</v>
      </c>
      <c r="Y30" s="3">
        <v>3.2802083333333334</v>
      </c>
      <c r="Z30" s="3">
        <v>3.2104166666666667</v>
      </c>
      <c r="AA30" s="3">
        <v>0</v>
      </c>
      <c r="AB30" s="3">
        <v>49.791119791666674</v>
      </c>
      <c r="AC30" s="3">
        <v>32.384999999999998</v>
      </c>
      <c r="AD30" s="3">
        <v>-39.29952315335521</v>
      </c>
      <c r="AE30" s="3">
        <v>-11.443733202567444</v>
      </c>
      <c r="AF30" s="3">
        <v>-61.407292955567712</v>
      </c>
      <c r="AG30" s="3">
        <v>-35.320124588956944</v>
      </c>
    </row>
    <row r="31" spans="1:33">
      <c r="A31">
        <v>30</v>
      </c>
      <c r="B31">
        <v>2023</v>
      </c>
      <c r="C31">
        <v>3</v>
      </c>
      <c r="D31">
        <v>2</v>
      </c>
      <c r="E31" t="s">
        <v>13</v>
      </c>
      <c r="F31" t="s">
        <v>12</v>
      </c>
      <c r="G31" t="s">
        <v>12</v>
      </c>
      <c r="H31" t="s">
        <v>12</v>
      </c>
      <c r="I31" t="s">
        <v>13</v>
      </c>
      <c r="J31">
        <v>4455.5</v>
      </c>
      <c r="K31">
        <v>3988.7999999999997</v>
      </c>
      <c r="L31">
        <v>1206.7</v>
      </c>
      <c r="M31">
        <f t="shared" si="0"/>
        <v>9651</v>
      </c>
      <c r="N31" s="3">
        <v>64.897441065862722</v>
      </c>
      <c r="O31" s="3">
        <v>116.8153939185529</v>
      </c>
      <c r="P31" s="3">
        <v>43.264960710575146</v>
      </c>
      <c r="Q31" s="3">
        <v>93.452315134842323</v>
      </c>
      <c r="R31" s="3">
        <v>103.51808422479901</v>
      </c>
      <c r="S31" s="3">
        <v>128.17911182982684</v>
      </c>
      <c r="T31" s="3">
        <v>48.042838541666676</v>
      </c>
      <c r="U31" s="3">
        <v>6.586588541666667</v>
      </c>
      <c r="V31" s="3">
        <v>0.41875000000000001</v>
      </c>
      <c r="W31" s="3">
        <v>21.077083333333334</v>
      </c>
      <c r="X31" s="3">
        <v>9.9104166666666664</v>
      </c>
      <c r="Y31" s="3">
        <v>5.5833333333333339</v>
      </c>
      <c r="Z31" s="3">
        <v>4.4666666666666668</v>
      </c>
      <c r="AA31" s="3">
        <v>0</v>
      </c>
      <c r="AB31" s="3">
        <v>48.042838541666676</v>
      </c>
      <c r="AC31" s="3">
        <v>32.384999999999998</v>
      </c>
      <c r="AD31" s="3">
        <v>-38.620643158936289</v>
      </c>
      <c r="AE31" s="3">
        <v>-11.363717911273937</v>
      </c>
      <c r="AF31" s="3">
        <v>-60.253123514223866</v>
      </c>
      <c r="AG31" s="3">
        <v>-34.726796694984515</v>
      </c>
    </row>
    <row r="32" spans="1:33">
      <c r="A32">
        <v>31</v>
      </c>
      <c r="B32">
        <v>2023</v>
      </c>
      <c r="C32">
        <v>3</v>
      </c>
      <c r="D32">
        <v>3</v>
      </c>
      <c r="E32" t="s">
        <v>13</v>
      </c>
      <c r="F32" t="s">
        <v>12</v>
      </c>
      <c r="G32" t="s">
        <v>12</v>
      </c>
      <c r="H32" t="s">
        <v>12</v>
      </c>
      <c r="I32" t="s">
        <v>13</v>
      </c>
      <c r="J32">
        <v>6886.8</v>
      </c>
      <c r="K32">
        <v>7913</v>
      </c>
      <c r="L32">
        <v>1344.7</v>
      </c>
      <c r="M32">
        <f t="shared" si="0"/>
        <v>16144.5</v>
      </c>
      <c r="N32" s="3">
        <v>105.44833459169519</v>
      </c>
      <c r="O32" s="3">
        <v>189.80700226505135</v>
      </c>
      <c r="P32" s="3">
        <v>70.298889727796791</v>
      </c>
      <c r="Q32" s="3">
        <v>151.84560181204108</v>
      </c>
      <c r="R32" s="3">
        <v>112.12039093959046</v>
      </c>
      <c r="S32" s="3">
        <v>152.19075808443463</v>
      </c>
      <c r="T32" s="3">
        <v>46.507421875000006</v>
      </c>
      <c r="U32" s="3">
        <v>6.586588541666667</v>
      </c>
      <c r="V32" s="3">
        <v>0.41875000000000001</v>
      </c>
      <c r="W32" s="3">
        <v>15.703125</v>
      </c>
      <c r="X32" s="3">
        <v>14.795833333333334</v>
      </c>
      <c r="Y32" s="3">
        <v>4.6760416666666664</v>
      </c>
      <c r="Z32" s="3">
        <v>4.3270833333333334</v>
      </c>
      <c r="AA32" s="3">
        <v>0</v>
      </c>
      <c r="AB32" s="3">
        <v>46.507421875000006</v>
      </c>
      <c r="AC32" s="3">
        <v>32.384999999999998</v>
      </c>
      <c r="AD32" s="3">
        <v>-6.6720563478952783</v>
      </c>
      <c r="AE32" s="3">
        <v>37.616244180616718</v>
      </c>
      <c r="AF32" s="3">
        <v>-41.821501211793674</v>
      </c>
      <c r="AG32" s="3">
        <v>-0.3451562723935524</v>
      </c>
    </row>
    <row r="33" spans="1:33">
      <c r="A33">
        <v>32</v>
      </c>
      <c r="B33">
        <v>2023</v>
      </c>
      <c r="C33">
        <v>3</v>
      </c>
      <c r="D33">
        <v>4</v>
      </c>
      <c r="E33" t="s">
        <v>13</v>
      </c>
      <c r="F33" t="s">
        <v>12</v>
      </c>
      <c r="G33" t="s">
        <v>12</v>
      </c>
      <c r="H33" t="s">
        <v>12</v>
      </c>
      <c r="I33" t="s">
        <v>13</v>
      </c>
      <c r="J33">
        <v>5338.5</v>
      </c>
      <c r="K33">
        <v>6661.4</v>
      </c>
      <c r="L33">
        <v>191.2</v>
      </c>
      <c r="M33">
        <f t="shared" si="0"/>
        <v>12191.1</v>
      </c>
      <c r="N33" s="3">
        <v>78.058311033759225</v>
      </c>
      <c r="O33" s="3">
        <v>140.5049598607666</v>
      </c>
      <c r="P33" s="3">
        <v>52.03887402250615</v>
      </c>
      <c r="Q33" s="3">
        <v>112.40396788861329</v>
      </c>
      <c r="R33" s="3">
        <v>109.71163505010648</v>
      </c>
      <c r="S33" s="3">
        <v>139.37379324293499</v>
      </c>
      <c r="T33" s="3">
        <v>50.946171875000005</v>
      </c>
      <c r="U33" s="3">
        <v>6.586588541666667</v>
      </c>
      <c r="V33" s="3">
        <v>0.41875000000000001</v>
      </c>
      <c r="W33" s="3">
        <v>24.259583333333335</v>
      </c>
      <c r="X33" s="3">
        <v>12.283333333333333</v>
      </c>
      <c r="Y33" s="3">
        <v>4.7458333333333336</v>
      </c>
      <c r="Z33" s="3">
        <v>2.6520833333333336</v>
      </c>
      <c r="AA33" s="3">
        <v>0</v>
      </c>
      <c r="AB33" s="3">
        <v>50.946171875000005</v>
      </c>
      <c r="AC33" s="3">
        <v>32.384999999999998</v>
      </c>
      <c r="AD33" s="3">
        <v>-31.653324016347256</v>
      </c>
      <c r="AE33" s="3">
        <v>1.1311666178316102</v>
      </c>
      <c r="AF33" s="3">
        <v>-57.67276102760033</v>
      </c>
      <c r="AG33" s="3">
        <v>-26.969825354321699</v>
      </c>
    </row>
    <row r="34" spans="1:33">
      <c r="A34">
        <v>33</v>
      </c>
      <c r="B34">
        <v>2023</v>
      </c>
      <c r="C34">
        <v>4</v>
      </c>
      <c r="D34">
        <v>1</v>
      </c>
      <c r="E34" t="s">
        <v>13</v>
      </c>
      <c r="F34" t="s">
        <v>12</v>
      </c>
      <c r="G34" t="s">
        <v>12</v>
      </c>
      <c r="H34" t="s">
        <v>12</v>
      </c>
      <c r="I34" t="s">
        <v>12</v>
      </c>
      <c r="J34">
        <v>7562.4999999999991</v>
      </c>
      <c r="K34">
        <v>5642.2</v>
      </c>
      <c r="L34">
        <v>982</v>
      </c>
      <c r="M34">
        <f t="shared" si="0"/>
        <v>14186.699999999999</v>
      </c>
      <c r="N34" s="3">
        <v>96.264476185964057</v>
      </c>
      <c r="O34" s="3">
        <v>173.27605713473531</v>
      </c>
      <c r="P34" s="3">
        <v>64.176317457309366</v>
      </c>
      <c r="Q34" s="3">
        <v>138.62084570778825</v>
      </c>
      <c r="R34" s="3">
        <v>130.74447842149104</v>
      </c>
      <c r="S34" s="3">
        <v>167.32497937215737</v>
      </c>
      <c r="T34" s="3">
        <v>67.427473958333337</v>
      </c>
      <c r="U34" s="3">
        <v>7.633463541666667</v>
      </c>
      <c r="V34" s="3">
        <v>0.41875000000000001</v>
      </c>
      <c r="W34" s="3">
        <v>20.850260416666668</v>
      </c>
      <c r="X34" s="3">
        <v>19.122916666666669</v>
      </c>
      <c r="Y34" s="3">
        <v>5.3041666666666671</v>
      </c>
      <c r="Z34" s="3">
        <v>3.6291666666666669</v>
      </c>
      <c r="AA34" s="3">
        <v>10.46875</v>
      </c>
      <c r="AB34" s="3">
        <v>67.427473958333337</v>
      </c>
      <c r="AC34" s="3">
        <v>32.384999999999998</v>
      </c>
      <c r="AD34" s="3">
        <v>-34.480002235526982</v>
      </c>
      <c r="AE34" s="3">
        <v>5.9510777625779383</v>
      </c>
      <c r="AF34" s="3">
        <v>-66.568160964181672</v>
      </c>
      <c r="AG34" s="3">
        <v>-28.704133664369124</v>
      </c>
    </row>
    <row r="35" spans="1:33">
      <c r="A35">
        <v>34</v>
      </c>
      <c r="B35">
        <v>2023</v>
      </c>
      <c r="C35">
        <v>4</v>
      </c>
      <c r="D35">
        <v>2</v>
      </c>
      <c r="E35" t="s">
        <v>13</v>
      </c>
      <c r="F35" t="s">
        <v>12</v>
      </c>
      <c r="G35" t="s">
        <v>12</v>
      </c>
      <c r="H35" t="s">
        <v>12</v>
      </c>
      <c r="I35" t="s">
        <v>12</v>
      </c>
      <c r="J35">
        <v>5322.5999999999995</v>
      </c>
      <c r="K35">
        <v>4229</v>
      </c>
      <c r="L35">
        <v>1136.8999999999999</v>
      </c>
      <c r="M35">
        <f t="shared" si="0"/>
        <v>10688.499999999998</v>
      </c>
      <c r="N35" s="3">
        <v>72.450735888701118</v>
      </c>
      <c r="O35" s="3">
        <v>130.41132459966201</v>
      </c>
      <c r="P35" s="3">
        <v>48.300490592467412</v>
      </c>
      <c r="Q35" s="3">
        <v>104.32905967972961</v>
      </c>
      <c r="R35" s="3">
        <v>128.03984543050862</v>
      </c>
      <c r="S35" s="3">
        <v>155.57112506821505</v>
      </c>
      <c r="T35" s="3">
        <v>70.676276041666668</v>
      </c>
      <c r="U35" s="3">
        <v>7.633463541666667</v>
      </c>
      <c r="V35" s="3">
        <v>0.41875000000000001</v>
      </c>
      <c r="W35" s="3">
        <v>31.915729166666669</v>
      </c>
      <c r="X35" s="3">
        <v>11.30625</v>
      </c>
      <c r="Y35" s="3">
        <v>4.7458333333333336</v>
      </c>
      <c r="Z35" s="3">
        <v>4.1875</v>
      </c>
      <c r="AA35" s="3">
        <v>10.46875</v>
      </c>
      <c r="AB35" s="3">
        <v>70.676276041666668</v>
      </c>
      <c r="AC35" s="3">
        <v>32.384999999999998</v>
      </c>
      <c r="AD35" s="3">
        <v>-55.589109541807503</v>
      </c>
      <c r="AE35" s="3">
        <v>-25.159800468553044</v>
      </c>
      <c r="AF35" s="3">
        <v>-79.739354838041208</v>
      </c>
      <c r="AG35" s="3">
        <v>-51.242065388485443</v>
      </c>
    </row>
    <row r="36" spans="1:33">
      <c r="A36">
        <v>35</v>
      </c>
      <c r="B36">
        <v>2023</v>
      </c>
      <c r="C36">
        <v>4</v>
      </c>
      <c r="D36">
        <v>3</v>
      </c>
      <c r="E36" t="s">
        <v>13</v>
      </c>
      <c r="F36" t="s">
        <v>12</v>
      </c>
      <c r="G36" t="s">
        <v>12</v>
      </c>
      <c r="H36" t="s">
        <v>12</v>
      </c>
      <c r="I36" t="s">
        <v>12</v>
      </c>
      <c r="J36">
        <v>6259</v>
      </c>
      <c r="K36">
        <v>7467.5</v>
      </c>
      <c r="L36">
        <v>748.5</v>
      </c>
      <c r="M36">
        <f t="shared" si="0"/>
        <v>14475</v>
      </c>
      <c r="N36" s="3">
        <v>93.69503944698188</v>
      </c>
      <c r="O36" s="3">
        <v>168.65107100456737</v>
      </c>
      <c r="P36" s="3">
        <v>62.463359631321254</v>
      </c>
      <c r="Q36" s="3">
        <v>134.92085680365389</v>
      </c>
      <c r="R36" s="3">
        <v>129.56123382007883</v>
      </c>
      <c r="S36" s="3">
        <v>165.16534880993191</v>
      </c>
      <c r="T36" s="3">
        <v>66.886588541666669</v>
      </c>
      <c r="U36" s="3">
        <v>7.633463541666667</v>
      </c>
      <c r="V36" s="3">
        <v>0.41875000000000001</v>
      </c>
      <c r="W36" s="3">
        <v>20.658333333333335</v>
      </c>
      <c r="X36" s="3">
        <v>17.727083333333333</v>
      </c>
      <c r="Y36" s="3">
        <v>5.8624999999999998</v>
      </c>
      <c r="Z36" s="3">
        <v>4.1177083333333337</v>
      </c>
      <c r="AA36" s="3">
        <v>10.46875</v>
      </c>
      <c r="AB36" s="3">
        <v>66.886588541666669</v>
      </c>
      <c r="AC36" s="3">
        <v>32.384999999999998</v>
      </c>
      <c r="AD36" s="3">
        <v>-35.866194373096945</v>
      </c>
      <c r="AE36" s="3">
        <v>3.4857221946354571</v>
      </c>
      <c r="AF36" s="3">
        <v>-67.097874188757572</v>
      </c>
      <c r="AG36" s="3">
        <v>-30.244492006278023</v>
      </c>
    </row>
    <row r="37" spans="1:33">
      <c r="A37">
        <v>36</v>
      </c>
      <c r="B37">
        <v>2023</v>
      </c>
      <c r="C37">
        <v>4</v>
      </c>
      <c r="D37">
        <v>4</v>
      </c>
      <c r="E37" t="s">
        <v>13</v>
      </c>
      <c r="F37" t="s">
        <v>12</v>
      </c>
      <c r="G37" t="s">
        <v>12</v>
      </c>
      <c r="H37" t="s">
        <v>12</v>
      </c>
      <c r="I37" t="s">
        <v>12</v>
      </c>
      <c r="J37">
        <v>5300.6</v>
      </c>
      <c r="K37">
        <v>6915.1</v>
      </c>
      <c r="L37">
        <v>1421.3999999999999</v>
      </c>
      <c r="M37">
        <f t="shared" si="0"/>
        <v>13637.1</v>
      </c>
      <c r="N37" s="3">
        <v>88.350578295662245</v>
      </c>
      <c r="O37" s="3">
        <v>159.03104093219204</v>
      </c>
      <c r="P37" s="3">
        <v>58.900385530441497</v>
      </c>
      <c r="Q37" s="3">
        <v>127.22483274575364</v>
      </c>
      <c r="R37" s="3">
        <v>145.76725394891557</v>
      </c>
      <c r="S37" s="3">
        <v>179.34047370126723</v>
      </c>
      <c r="T37" s="3">
        <v>84.428723958333336</v>
      </c>
      <c r="U37" s="3">
        <v>7.633463541666667</v>
      </c>
      <c r="V37" s="3">
        <v>0.41875000000000001</v>
      </c>
      <c r="W37" s="3">
        <v>43.155677083333337</v>
      </c>
      <c r="X37" s="3">
        <v>11.864583333333334</v>
      </c>
      <c r="Y37" s="3">
        <v>6.7</v>
      </c>
      <c r="Z37" s="3">
        <v>4.1875</v>
      </c>
      <c r="AA37" s="3">
        <v>10.46875</v>
      </c>
      <c r="AB37" s="3">
        <v>84.428723958333336</v>
      </c>
      <c r="AC37" s="3">
        <v>32.384999999999998</v>
      </c>
      <c r="AD37" s="3">
        <v>-57.416675653253321</v>
      </c>
      <c r="AE37" s="3">
        <v>-20.309432769075187</v>
      </c>
      <c r="AF37" s="3">
        <v>-86.86686841847407</v>
      </c>
      <c r="AG37" s="3">
        <v>-52.115640955513584</v>
      </c>
    </row>
    <row r="38" spans="1:33">
      <c r="A38">
        <v>37</v>
      </c>
      <c r="B38">
        <v>2023</v>
      </c>
      <c r="C38">
        <v>5</v>
      </c>
      <c r="D38">
        <v>1</v>
      </c>
      <c r="E38" t="s">
        <v>13</v>
      </c>
      <c r="F38" t="s">
        <v>13</v>
      </c>
      <c r="G38" t="s">
        <v>12</v>
      </c>
      <c r="H38" t="s">
        <v>12</v>
      </c>
      <c r="I38" t="s">
        <v>12</v>
      </c>
      <c r="J38">
        <v>5099.8</v>
      </c>
      <c r="K38">
        <v>5475.2999999999993</v>
      </c>
      <c r="L38">
        <v>128.5</v>
      </c>
      <c r="M38">
        <f t="shared" si="0"/>
        <v>10703.599999999999</v>
      </c>
      <c r="N38" s="3">
        <v>69.553993159100102</v>
      </c>
      <c r="O38" s="3">
        <v>125.19718768638019</v>
      </c>
      <c r="P38" s="3">
        <v>46.369328772733397</v>
      </c>
      <c r="Q38" s="3">
        <v>100.15775014910416</v>
      </c>
      <c r="R38" s="3">
        <v>119.64042537310834</v>
      </c>
      <c r="S38" s="3">
        <v>146.07094277356637</v>
      </c>
      <c r="T38" s="3">
        <v>68.866927083333337</v>
      </c>
      <c r="U38" s="3">
        <v>13.522135416666668</v>
      </c>
      <c r="V38" s="3">
        <v>0.41875000000000001</v>
      </c>
      <c r="W38" s="3">
        <v>27.21875</v>
      </c>
      <c r="X38" s="3">
        <v>12.492708333333333</v>
      </c>
      <c r="Y38" s="3">
        <v>3.6291666666666669</v>
      </c>
      <c r="Z38" s="3">
        <v>1.1166666666666667</v>
      </c>
      <c r="AA38" s="3">
        <v>10.46875</v>
      </c>
      <c r="AB38" s="3">
        <v>68.866927083333337</v>
      </c>
      <c r="AC38" s="3">
        <v>32.384999999999998</v>
      </c>
      <c r="AD38" s="3">
        <v>-50.086432214008241</v>
      </c>
      <c r="AE38" s="3">
        <v>-20.873755087186183</v>
      </c>
      <c r="AF38" s="3">
        <v>-73.271096600374946</v>
      </c>
      <c r="AG38" s="3">
        <v>-45.913192624462212</v>
      </c>
    </row>
    <row r="39" spans="1:33">
      <c r="A39">
        <v>38</v>
      </c>
      <c r="B39">
        <v>2023</v>
      </c>
      <c r="C39">
        <v>5</v>
      </c>
      <c r="D39">
        <v>2</v>
      </c>
      <c r="E39" t="s">
        <v>13</v>
      </c>
      <c r="F39" t="s">
        <v>13</v>
      </c>
      <c r="G39" t="s">
        <v>12</v>
      </c>
      <c r="H39" t="s">
        <v>12</v>
      </c>
      <c r="I39" t="s">
        <v>12</v>
      </c>
      <c r="J39">
        <v>5608.4000000000015</v>
      </c>
      <c r="K39">
        <v>5296.8</v>
      </c>
      <c r="L39">
        <v>117.5</v>
      </c>
      <c r="M39">
        <f t="shared" si="0"/>
        <v>11022.7</v>
      </c>
      <c r="N39" s="3">
        <v>72.554028190553581</v>
      </c>
      <c r="O39" s="3">
        <v>130.59725074299644</v>
      </c>
      <c r="P39" s="3">
        <v>48.369352127035718</v>
      </c>
      <c r="Q39" s="3">
        <v>104.47780059439715</v>
      </c>
      <c r="R39" s="3">
        <v>114.63262163097173</v>
      </c>
      <c r="S39" s="3">
        <v>142.20315234338207</v>
      </c>
      <c r="T39" s="3">
        <v>63.109114583333337</v>
      </c>
      <c r="U39" s="3">
        <v>13.522135416666668</v>
      </c>
      <c r="V39" s="3">
        <v>0.41875000000000001</v>
      </c>
      <c r="W39" s="3">
        <v>17.692187499999999</v>
      </c>
      <c r="X39" s="3">
        <v>14.516666666666667</v>
      </c>
      <c r="Y39" s="3">
        <v>3.9083333333333332</v>
      </c>
      <c r="Z39" s="3">
        <v>2.5822916666666669</v>
      </c>
      <c r="AA39" s="3">
        <v>10.46875</v>
      </c>
      <c r="AB39" s="3">
        <v>63.109114583333337</v>
      </c>
      <c r="AC39" s="3">
        <v>32.384999999999998</v>
      </c>
      <c r="AD39" s="3">
        <v>-42.078593440418146</v>
      </c>
      <c r="AE39" s="3">
        <v>-11.605901600385636</v>
      </c>
      <c r="AF39" s="3">
        <v>-66.263269503936016</v>
      </c>
      <c r="AG39" s="3">
        <v>-37.72535174898492</v>
      </c>
    </row>
    <row r="40" spans="1:33">
      <c r="A40">
        <v>39</v>
      </c>
      <c r="B40">
        <v>2023</v>
      </c>
      <c r="C40">
        <v>5</v>
      </c>
      <c r="D40">
        <v>3</v>
      </c>
      <c r="E40" t="s">
        <v>13</v>
      </c>
      <c r="F40" t="s">
        <v>13</v>
      </c>
      <c r="G40" t="s">
        <v>12</v>
      </c>
      <c r="H40" t="s">
        <v>12</v>
      </c>
      <c r="I40" t="s">
        <v>12</v>
      </c>
      <c r="J40">
        <v>6142.9000000000005</v>
      </c>
      <c r="K40">
        <v>5344.2999999999993</v>
      </c>
      <c r="L40">
        <v>935.8</v>
      </c>
      <c r="M40">
        <f t="shared" si="0"/>
        <v>12423</v>
      </c>
      <c r="N40" s="3">
        <v>83.182830213832744</v>
      </c>
      <c r="O40" s="3">
        <v>149.72909438489893</v>
      </c>
      <c r="P40" s="3">
        <v>55.455220142555163</v>
      </c>
      <c r="Q40" s="3">
        <v>119.78327550791914</v>
      </c>
      <c r="R40" s="3">
        <v>134.39575963679152</v>
      </c>
      <c r="S40" s="3">
        <v>166.00523511804795</v>
      </c>
      <c r="T40" s="3">
        <v>80.215052083333347</v>
      </c>
      <c r="U40" s="3">
        <v>13.522135416666668</v>
      </c>
      <c r="V40" s="3">
        <v>0.41875000000000001</v>
      </c>
      <c r="W40" s="3">
        <v>32.704375000000006</v>
      </c>
      <c r="X40" s="3">
        <v>14.167708333333334</v>
      </c>
      <c r="Y40" s="3">
        <v>3.6291666666666669</v>
      </c>
      <c r="Z40" s="3">
        <v>5.3041666666666671</v>
      </c>
      <c r="AA40" s="3">
        <v>10.46875</v>
      </c>
      <c r="AB40" s="3">
        <v>80.215052083333347</v>
      </c>
      <c r="AC40" s="3">
        <v>32.384999999999998</v>
      </c>
      <c r="AD40" s="3">
        <v>-51.21292942295878</v>
      </c>
      <c r="AE40" s="3">
        <v>-16.27614073314902</v>
      </c>
      <c r="AF40" s="3">
        <v>-78.940539494236361</v>
      </c>
      <c r="AG40" s="3">
        <v>-46.221959610128806</v>
      </c>
    </row>
    <row r="41" spans="1:33">
      <c r="A41">
        <v>40</v>
      </c>
      <c r="B41">
        <v>2023</v>
      </c>
      <c r="C41">
        <v>5</v>
      </c>
      <c r="D41">
        <v>4</v>
      </c>
      <c r="E41" t="s">
        <v>13</v>
      </c>
      <c r="F41" t="s">
        <v>13</v>
      </c>
      <c r="G41" t="s">
        <v>12</v>
      </c>
      <c r="H41" t="s">
        <v>12</v>
      </c>
      <c r="I41" t="s">
        <v>12</v>
      </c>
      <c r="J41">
        <v>7099.4999999999991</v>
      </c>
      <c r="K41">
        <v>4564.2</v>
      </c>
      <c r="L41">
        <v>1006.9</v>
      </c>
      <c r="M41">
        <f t="shared" si="0"/>
        <v>12670.599999999999</v>
      </c>
      <c r="N41" s="3">
        <v>87.213347305643609</v>
      </c>
      <c r="O41" s="3">
        <v>156.98402515015849</v>
      </c>
      <c r="P41" s="3">
        <v>58.142231537095739</v>
      </c>
      <c r="Q41" s="3">
        <v>125.5872201201268</v>
      </c>
      <c r="R41" s="3">
        <v>115.9594305764109</v>
      </c>
      <c r="S41" s="3">
        <v>149.10050255255547</v>
      </c>
      <c r="T41" s="3">
        <v>60.771093749999999</v>
      </c>
      <c r="U41" s="3">
        <v>13.522135416666668</v>
      </c>
      <c r="V41" s="3">
        <v>0.41875000000000001</v>
      </c>
      <c r="W41" s="3">
        <v>11.585416666666667</v>
      </c>
      <c r="X41" s="3">
        <v>17.727083333333333</v>
      </c>
      <c r="Y41" s="3">
        <v>2.791666666666667</v>
      </c>
      <c r="Z41" s="3">
        <v>4.2572916666666671</v>
      </c>
      <c r="AA41" s="3">
        <v>10.46875</v>
      </c>
      <c r="AB41" s="3">
        <v>60.771093749999999</v>
      </c>
      <c r="AC41" s="3">
        <v>32.384999999999998</v>
      </c>
      <c r="AD41" s="3">
        <v>-28.746083270767286</v>
      </c>
      <c r="AE41" s="3">
        <v>7.8835225976030188</v>
      </c>
      <c r="AF41" s="3">
        <v>-57.817199039315156</v>
      </c>
      <c r="AG41" s="3">
        <v>-23.513282432428667</v>
      </c>
    </row>
    <row r="42" spans="1:33">
      <c r="A42">
        <v>41</v>
      </c>
      <c r="B42">
        <v>2024</v>
      </c>
      <c r="C42">
        <v>1</v>
      </c>
      <c r="D42">
        <v>1</v>
      </c>
      <c r="E42" t="s">
        <v>12</v>
      </c>
      <c r="F42" t="s">
        <v>12</v>
      </c>
      <c r="G42" t="s">
        <v>13</v>
      </c>
      <c r="H42" t="s">
        <v>13</v>
      </c>
      <c r="I42" t="s">
        <v>13</v>
      </c>
      <c r="J42">
        <v>912</v>
      </c>
      <c r="K42">
        <v>6487.9</v>
      </c>
      <c r="L42">
        <v>521.20000000000005</v>
      </c>
      <c r="M42">
        <f t="shared" si="0"/>
        <v>7921.0999999999995</v>
      </c>
      <c r="N42" s="3" cm="1">
        <f t="array" ref="N42:N61">TRANSPOSE('Cost-Benefit Analysis 2024'!B10:U10)</f>
        <v>15.721092955112978</v>
      </c>
      <c r="O42" s="3" cm="1">
        <f t="array" ref="O42:O61">TRANSPOSE('Cost-Benefit Analysis 2024'!B11:U11)</f>
        <v>26.725858023692059</v>
      </c>
      <c r="P42" s="3" cm="1">
        <f t="array" ref="P42:P61">TRANSPOSE('Cost-Benefit Analysis 2024'!B12:U12)</f>
        <v>10.480728636741985</v>
      </c>
      <c r="Q42" s="3" cm="1">
        <f t="array" ref="Q42:Q61">TRANSPOSE('Cost-Benefit Analysis 2024'!B13:U13)</f>
        <v>21.380686418953648</v>
      </c>
      <c r="R42" s="3" cm="1">
        <f t="array" ref="R42:R61">TRANSPOSE('Cost-Benefit Analysis 2024'!B43:U43)</f>
        <v>104.46636698877823</v>
      </c>
      <c r="S42" s="3" cm="1">
        <f t="array" ref="S42:S61">TRANSPOSE('Cost-Benefit Analysis 2024'!B44:U44)</f>
        <v>109.89014405829221</v>
      </c>
      <c r="T42" s="3" cm="1">
        <f t="array" ref="T42:T61">TRANSPOSE('Cost-Benefit Analysis 2024'!B41:U41)</f>
        <v>91.522187500000001</v>
      </c>
      <c r="U42" s="3" cm="1">
        <f t="array" ref="U42:U61">TRANSPOSE('Cost-Benefit Analysis 2024'!B18:U18)</f>
        <v>5.3921874999999995</v>
      </c>
      <c r="V42" s="3" cm="1">
        <f t="array" ref="V42:V61">TRANSPOSE('Cost-Benefit Analysis 2024'!B26:U26)</f>
        <v>0</v>
      </c>
      <c r="W42" s="3" cm="1">
        <f t="array" ref="W42:W61">TRANSPOSE('Cost-Benefit Analysis 2024'!B28:U28)</f>
        <v>65.902499999999989</v>
      </c>
      <c r="X42" s="3" cm="1">
        <f t="array" ref="X42:X61">TRANSPOSE('Cost-Benefit Analysis 2024'!B30:U30)</f>
        <v>5.51</v>
      </c>
      <c r="Y42" s="3" cm="1">
        <f t="array" ref="Y42:Y61">TRANSPOSE('Cost-Benefit Analysis 2024'!B31:U31)</f>
        <v>7.6124999999999998</v>
      </c>
      <c r="Z42" s="3" cm="1">
        <f t="array" ref="Z42:Z61">TRANSPOSE('Cost-Benefit Analysis 2024'!B32:U32)</f>
        <v>7.1049999999999995</v>
      </c>
      <c r="AA42" s="3" cm="1">
        <f t="array" ref="AA42:AA61">TRANSPOSE('Cost-Benefit Analysis 2024'!B34:U34)</f>
        <v>0</v>
      </c>
      <c r="AB42" s="3" cm="1">
        <f t="array" ref="AB42:AB61">TRANSPOSE('Cost-Benefit Analysis 2024'!B42:U42)</f>
        <v>91.522187500000001</v>
      </c>
      <c r="AC42" s="3" cm="1">
        <f t="array" ref="AC42:AC61">TRANSPOSE('Cost-Benefit Analysis 2024'!B40:U40)</f>
        <v>1.67875</v>
      </c>
      <c r="AD42" s="3" cm="1">
        <f t="array" ref="AD42:AD61">TRANSPOSE('Cost-Benefit Analysis 2024'!B47:U47)</f>
        <v>-88.745274033665254</v>
      </c>
      <c r="AE42" s="3" cm="1">
        <f t="array" ref="AE42:AE61">TRANSPOSE('Cost-Benefit Analysis 2024'!B48:U48)</f>
        <v>-83.164286034600153</v>
      </c>
      <c r="AF42" s="3" cm="1">
        <f t="array" ref="AF42:AF61">TRANSPOSE('Cost-Benefit Analysis 2024'!B49:U49)</f>
        <v>-93.985638352036247</v>
      </c>
      <c r="AG42" s="3" cm="1">
        <f t="array" ref="AG42:AG61">TRANSPOSE('Cost-Benefit Analysis 2024'!B50:U50)</f>
        <v>-88.509457639338564</v>
      </c>
    </row>
    <row r="43" spans="1:33">
      <c r="A43">
        <v>42</v>
      </c>
      <c r="B43">
        <v>2024</v>
      </c>
      <c r="C43">
        <v>1</v>
      </c>
      <c r="D43">
        <v>2</v>
      </c>
      <c r="E43" t="s">
        <v>12</v>
      </c>
      <c r="F43" t="s">
        <v>12</v>
      </c>
      <c r="G43" t="s">
        <v>13</v>
      </c>
      <c r="H43" t="s">
        <v>13</v>
      </c>
      <c r="I43" t="s">
        <v>13</v>
      </c>
      <c r="J43">
        <v>2653.8</v>
      </c>
      <c r="K43">
        <v>5297.4</v>
      </c>
      <c r="L43">
        <v>994.10000000000014</v>
      </c>
      <c r="M43">
        <f t="shared" si="0"/>
        <v>8945.2999999999993</v>
      </c>
      <c r="N43" s="3">
        <v>23.987370257131971</v>
      </c>
      <c r="O43" s="3">
        <v>40.778529437124355</v>
      </c>
      <c r="P43" s="3">
        <v>15.991580171421313</v>
      </c>
      <c r="Q43" s="3">
        <v>32.622823549699483</v>
      </c>
      <c r="R43" s="3">
        <v>91.090436314282982</v>
      </c>
      <c r="S43" s="3">
        <v>99.366079052993513</v>
      </c>
      <c r="T43" s="3">
        <v>76.079687499999991</v>
      </c>
      <c r="U43" s="3">
        <v>5.3921874999999995</v>
      </c>
      <c r="V43" s="3">
        <v>0</v>
      </c>
      <c r="W43" s="3">
        <v>44.949999999999996</v>
      </c>
      <c r="X43" s="3">
        <v>9.4249999999999989</v>
      </c>
      <c r="Y43" s="3">
        <v>9.1349999999999998</v>
      </c>
      <c r="Z43" s="3">
        <v>7.1774999999999993</v>
      </c>
      <c r="AA43" s="3">
        <v>0</v>
      </c>
      <c r="AB43" s="3">
        <v>76.079687499999991</v>
      </c>
      <c r="AC43" s="3">
        <v>1.67875</v>
      </c>
      <c r="AD43" s="3">
        <v>-67.103066057151011</v>
      </c>
      <c r="AE43" s="3">
        <v>-58.587549615869158</v>
      </c>
      <c r="AF43" s="3">
        <v>-75.098856142861663</v>
      </c>
      <c r="AG43" s="3">
        <v>-66.743255503294023</v>
      </c>
    </row>
    <row r="44" spans="1:33">
      <c r="A44">
        <v>43</v>
      </c>
      <c r="B44">
        <v>2024</v>
      </c>
      <c r="C44">
        <v>1</v>
      </c>
      <c r="D44">
        <v>3</v>
      </c>
      <c r="E44" t="s">
        <v>12</v>
      </c>
      <c r="F44" t="s">
        <v>12</v>
      </c>
      <c r="G44" t="s">
        <v>13</v>
      </c>
      <c r="H44" t="s">
        <v>13</v>
      </c>
      <c r="I44" t="s">
        <v>13</v>
      </c>
      <c r="J44">
        <v>5381.0999999999995</v>
      </c>
      <c r="K44">
        <v>6034</v>
      </c>
      <c r="L44">
        <v>1966.6</v>
      </c>
      <c r="M44">
        <f t="shared" si="0"/>
        <v>13381.699999999999</v>
      </c>
      <c r="N44" s="3">
        <v>41.511823159635597</v>
      </c>
      <c r="O44" s="3">
        <v>70.570099371380508</v>
      </c>
      <c r="P44" s="3">
        <v>27.674548773090397</v>
      </c>
      <c r="Q44" s="3">
        <v>56.456079497104412</v>
      </c>
      <c r="R44" s="3">
        <v>98.081549539908877</v>
      </c>
      <c r="S44" s="3">
        <v>112.40312852998315</v>
      </c>
      <c r="T44" s="3">
        <v>78.689687499999991</v>
      </c>
      <c r="U44" s="3">
        <v>5.3921874999999995</v>
      </c>
      <c r="V44" s="3">
        <v>0</v>
      </c>
      <c r="W44" s="3">
        <v>41.832499999999996</v>
      </c>
      <c r="X44" s="3">
        <v>15.442499999999999</v>
      </c>
      <c r="Y44" s="3">
        <v>7.8299999999999992</v>
      </c>
      <c r="Z44" s="3">
        <v>8.192499999999999</v>
      </c>
      <c r="AA44" s="3">
        <v>0</v>
      </c>
      <c r="AB44" s="3">
        <v>78.689687499999991</v>
      </c>
      <c r="AC44" s="3">
        <v>1.67875</v>
      </c>
      <c r="AD44" s="3">
        <v>-56.569726380273281</v>
      </c>
      <c r="AE44" s="3">
        <v>-41.833029158602642</v>
      </c>
      <c r="AF44" s="3">
        <v>-70.407000766818484</v>
      </c>
      <c r="AG44" s="3">
        <v>-55.947049032878738</v>
      </c>
    </row>
    <row r="45" spans="1:33">
      <c r="A45">
        <v>44</v>
      </c>
      <c r="B45">
        <v>2024</v>
      </c>
      <c r="C45">
        <v>1</v>
      </c>
      <c r="D45">
        <v>4</v>
      </c>
      <c r="E45" t="s">
        <v>12</v>
      </c>
      <c r="F45" t="s">
        <v>12</v>
      </c>
      <c r="G45" t="s">
        <v>13</v>
      </c>
      <c r="H45" t="s">
        <v>13</v>
      </c>
      <c r="I45" t="s">
        <v>13</v>
      </c>
      <c r="J45">
        <v>4159.8999999999996</v>
      </c>
      <c r="K45">
        <v>4460.7000000000007</v>
      </c>
      <c r="L45">
        <v>1432.6</v>
      </c>
      <c r="M45">
        <f t="shared" si="0"/>
        <v>10053.200000000001</v>
      </c>
      <c r="N45" s="3">
        <v>31.51346067064576</v>
      </c>
      <c r="O45" s="3">
        <v>53.572883140097787</v>
      </c>
      <c r="P45" s="3">
        <v>21.008973780430505</v>
      </c>
      <c r="Q45" s="3">
        <v>42.858306512078229</v>
      </c>
      <c r="R45" s="3">
        <v>106.21045891766146</v>
      </c>
      <c r="S45" s="3">
        <v>117.08260284903423</v>
      </c>
      <c r="T45" s="3">
        <v>89.318187500000008</v>
      </c>
      <c r="U45" s="3">
        <v>5.3921874999999995</v>
      </c>
      <c r="V45" s="3">
        <v>0</v>
      </c>
      <c r="W45" s="3">
        <v>55.462499999999999</v>
      </c>
      <c r="X45" s="3">
        <v>14.470999999999998</v>
      </c>
      <c r="Y45" s="3">
        <v>6.3074999999999992</v>
      </c>
      <c r="Z45" s="3">
        <v>7.6849999999999996</v>
      </c>
      <c r="AA45" s="3">
        <v>0</v>
      </c>
      <c r="AB45" s="3">
        <v>89.318187500000008</v>
      </c>
      <c r="AC45" s="3">
        <v>1.67875</v>
      </c>
      <c r="AD45" s="3">
        <v>-74.696998247015699</v>
      </c>
      <c r="AE45" s="3">
        <v>-63.509719708936444</v>
      </c>
      <c r="AF45" s="3">
        <v>-85.201485137230947</v>
      </c>
      <c r="AG45" s="3">
        <v>-74.224296336956002</v>
      </c>
    </row>
    <row r="46" spans="1:33">
      <c r="A46">
        <v>45</v>
      </c>
      <c r="B46">
        <v>2024</v>
      </c>
      <c r="C46">
        <v>2</v>
      </c>
      <c r="D46">
        <v>1</v>
      </c>
      <c r="E46" t="s">
        <v>12</v>
      </c>
      <c r="F46" t="s">
        <v>12</v>
      </c>
      <c r="G46" t="s">
        <v>12</v>
      </c>
      <c r="H46" t="s">
        <v>13</v>
      </c>
      <c r="I46" t="s">
        <v>13</v>
      </c>
      <c r="J46">
        <v>3708</v>
      </c>
      <c r="K46">
        <v>6510.0000000000009</v>
      </c>
      <c r="L46">
        <v>1006.7</v>
      </c>
      <c r="M46">
        <f t="shared" si="0"/>
        <v>11224.7</v>
      </c>
      <c r="N46" s="3">
        <v>30.994246552251312</v>
      </c>
      <c r="O46" s="3">
        <v>52.690219138827217</v>
      </c>
      <c r="P46" s="3">
        <v>20.662831034834205</v>
      </c>
      <c r="Q46" s="3">
        <v>42.152175311061775</v>
      </c>
      <c r="R46" s="3">
        <v>95.74965538806282</v>
      </c>
      <c r="S46" s="3">
        <v>106.44267044858952</v>
      </c>
      <c r="T46" s="3">
        <v>76.587187500000013</v>
      </c>
      <c r="U46" s="3">
        <v>5.3921874999999995</v>
      </c>
      <c r="V46" s="3">
        <v>0.43499999999999994</v>
      </c>
      <c r="W46" s="3">
        <v>44.297499999999999</v>
      </c>
      <c r="X46" s="3">
        <v>11.092499999999999</v>
      </c>
      <c r="Y46" s="3">
        <v>8.0474999999999994</v>
      </c>
      <c r="Z46" s="3">
        <v>7.3224999999999998</v>
      </c>
      <c r="AA46" s="3">
        <v>0</v>
      </c>
      <c r="AB46" s="3">
        <v>76.587187500000013</v>
      </c>
      <c r="AC46" s="3">
        <v>4.0787499999999994</v>
      </c>
      <c r="AD46" s="3">
        <v>-64.755408835811508</v>
      </c>
      <c r="AE46" s="3">
        <v>-53.752451309762307</v>
      </c>
      <c r="AF46" s="3">
        <v>-75.086824353228621</v>
      </c>
      <c r="AG46" s="3">
        <v>-64.290495137527756</v>
      </c>
    </row>
    <row r="47" spans="1:33">
      <c r="A47">
        <v>46</v>
      </c>
      <c r="B47">
        <v>2024</v>
      </c>
      <c r="C47">
        <v>2</v>
      </c>
      <c r="D47">
        <v>2</v>
      </c>
      <c r="E47" t="s">
        <v>12</v>
      </c>
      <c r="F47" t="s">
        <v>12</v>
      </c>
      <c r="G47" t="s">
        <v>12</v>
      </c>
      <c r="H47" t="s">
        <v>13</v>
      </c>
      <c r="I47" t="s">
        <v>13</v>
      </c>
      <c r="J47">
        <v>3844.7</v>
      </c>
      <c r="K47">
        <v>4290</v>
      </c>
      <c r="L47">
        <v>821.5</v>
      </c>
      <c r="M47">
        <f t="shared" si="0"/>
        <v>8956.2000000000007</v>
      </c>
      <c r="N47" s="3">
        <v>27.794644671822851</v>
      </c>
      <c r="O47" s="3">
        <v>47.250895942098843</v>
      </c>
      <c r="P47" s="3">
        <v>18.529763114548565</v>
      </c>
      <c r="Q47" s="3">
        <v>37.800716753679076</v>
      </c>
      <c r="R47" s="3">
        <v>86.829754917955711</v>
      </c>
      <c r="S47" s="3">
        <v>96.41890732973458</v>
      </c>
      <c r="T47" s="3">
        <v>68.467187499999994</v>
      </c>
      <c r="U47" s="3">
        <v>5.3921874999999995</v>
      </c>
      <c r="V47" s="3">
        <v>0.43499999999999994</v>
      </c>
      <c r="W47" s="3">
        <v>39.294999999999995</v>
      </c>
      <c r="X47" s="3">
        <v>12.469999999999999</v>
      </c>
      <c r="Y47" s="3">
        <v>4.7849999999999993</v>
      </c>
      <c r="Z47" s="3">
        <v>6.09</v>
      </c>
      <c r="AA47" s="3">
        <v>0</v>
      </c>
      <c r="AB47" s="3">
        <v>68.467187499999994</v>
      </c>
      <c r="AC47" s="3">
        <v>4.0787499999999994</v>
      </c>
      <c r="AD47" s="3">
        <v>-59.035110246132859</v>
      </c>
      <c r="AE47" s="3">
        <v>-49.168011387635737</v>
      </c>
      <c r="AF47" s="3">
        <v>-68.299991803407153</v>
      </c>
      <c r="AG47" s="3">
        <v>-58.618190576055504</v>
      </c>
    </row>
    <row r="48" spans="1:33">
      <c r="A48">
        <v>47</v>
      </c>
      <c r="B48">
        <v>2024</v>
      </c>
      <c r="C48">
        <v>2</v>
      </c>
      <c r="D48">
        <v>3</v>
      </c>
      <c r="E48" t="s">
        <v>12</v>
      </c>
      <c r="F48" t="s">
        <v>12</v>
      </c>
      <c r="G48" t="s">
        <v>12</v>
      </c>
      <c r="H48" t="s">
        <v>13</v>
      </c>
      <c r="I48" t="s">
        <v>13</v>
      </c>
      <c r="J48">
        <v>3178.7000000000003</v>
      </c>
      <c r="K48">
        <v>6220.2000000000007</v>
      </c>
      <c r="L48">
        <v>1054.5</v>
      </c>
      <c r="M48">
        <f t="shared" si="0"/>
        <v>10453.400000000001</v>
      </c>
      <c r="N48" s="3">
        <v>28.118786202245865</v>
      </c>
      <c r="O48" s="3">
        <v>47.801936543817973</v>
      </c>
      <c r="P48" s="3">
        <v>18.745857468163909</v>
      </c>
      <c r="Q48" s="3">
        <v>38.241549235054379</v>
      </c>
      <c r="R48" s="3">
        <v>94.958290300561444</v>
      </c>
      <c r="S48" s="3">
        <v>104.65927154033626</v>
      </c>
      <c r="T48" s="3">
        <v>76.51468749999998</v>
      </c>
      <c r="U48" s="3">
        <v>5.3921874999999995</v>
      </c>
      <c r="V48" s="3">
        <v>0.43499999999999994</v>
      </c>
      <c r="W48" s="3">
        <v>45.747499999999995</v>
      </c>
      <c r="X48" s="3">
        <v>11.02</v>
      </c>
      <c r="Y48" s="3">
        <v>6.9599999999999991</v>
      </c>
      <c r="Z48" s="3">
        <v>6.9599999999999991</v>
      </c>
      <c r="AA48" s="3">
        <v>0</v>
      </c>
      <c r="AB48" s="3">
        <v>76.51468749999998</v>
      </c>
      <c r="AC48" s="3">
        <v>4.0787499999999994</v>
      </c>
      <c r="AD48" s="3">
        <v>-66.839504098315587</v>
      </c>
      <c r="AE48" s="3">
        <v>-56.85733499651829</v>
      </c>
      <c r="AF48" s="3">
        <v>-76.212432832397539</v>
      </c>
      <c r="AG48" s="3">
        <v>-66.417722305281885</v>
      </c>
    </row>
    <row r="49" spans="1:33">
      <c r="A49">
        <v>48</v>
      </c>
      <c r="B49">
        <v>2024</v>
      </c>
      <c r="C49">
        <v>2</v>
      </c>
      <c r="D49">
        <v>4</v>
      </c>
      <c r="E49" t="s">
        <v>12</v>
      </c>
      <c r="F49" t="s">
        <v>12</v>
      </c>
      <c r="G49" t="s">
        <v>12</v>
      </c>
      <c r="H49" t="s">
        <v>13</v>
      </c>
      <c r="I49" t="s">
        <v>13</v>
      </c>
      <c r="J49">
        <v>6492.1</v>
      </c>
      <c r="K49">
        <v>10110.9</v>
      </c>
      <c r="L49">
        <v>1051.5999999999999</v>
      </c>
      <c r="M49">
        <f t="shared" si="0"/>
        <v>17654.599999999999</v>
      </c>
      <c r="N49" s="3">
        <v>50.125872790805545</v>
      </c>
      <c r="O49" s="3">
        <v>85.213983744369429</v>
      </c>
      <c r="P49" s="3">
        <v>33.417248527203697</v>
      </c>
      <c r="Q49" s="3">
        <v>68.171186995495546</v>
      </c>
      <c r="R49" s="3">
        <v>109.52256194770139</v>
      </c>
      <c r="S49" s="3">
        <v>126.81598806052931</v>
      </c>
      <c r="T49" s="3">
        <v>85.577187500000008</v>
      </c>
      <c r="U49" s="3">
        <v>5.3921874999999995</v>
      </c>
      <c r="V49" s="3">
        <v>0.43499999999999994</v>
      </c>
      <c r="W49" s="3">
        <v>45.167499999999997</v>
      </c>
      <c r="X49" s="3">
        <v>19.574999999999999</v>
      </c>
      <c r="Y49" s="3">
        <v>9.1349999999999998</v>
      </c>
      <c r="Z49" s="3">
        <v>5.8724999999999996</v>
      </c>
      <c r="AA49" s="3">
        <v>0</v>
      </c>
      <c r="AB49" s="3">
        <v>85.577187500000008</v>
      </c>
      <c r="AC49" s="3">
        <v>4.0787499999999994</v>
      </c>
      <c r="AD49" s="3">
        <v>-59.396689156895846</v>
      </c>
      <c r="AE49" s="3">
        <v>-41.602004316159878</v>
      </c>
      <c r="AF49" s="3">
        <v>-76.105313420497694</v>
      </c>
      <c r="AG49" s="3">
        <v>-58.644801065033761</v>
      </c>
    </row>
    <row r="50" spans="1:33">
      <c r="A50">
        <v>49</v>
      </c>
      <c r="B50">
        <v>2024</v>
      </c>
      <c r="C50">
        <v>3</v>
      </c>
      <c r="D50">
        <v>1</v>
      </c>
      <c r="E50" t="s">
        <v>13</v>
      </c>
      <c r="F50" t="s">
        <v>12</v>
      </c>
      <c r="G50" t="s">
        <v>12</v>
      </c>
      <c r="H50" t="s">
        <v>12</v>
      </c>
      <c r="I50" t="s">
        <v>13</v>
      </c>
      <c r="J50">
        <v>1802.8</v>
      </c>
      <c r="K50">
        <v>5757.4</v>
      </c>
      <c r="L50">
        <v>728.30000000000007</v>
      </c>
      <c r="M50">
        <f t="shared" si="0"/>
        <v>8288.5</v>
      </c>
      <c r="N50" s="3">
        <v>45.974114599855369</v>
      </c>
      <c r="O50" s="3">
        <v>82.753406279739664</v>
      </c>
      <c r="P50" s="3">
        <v>30.649409733236912</v>
      </c>
      <c r="Q50" s="3">
        <v>66.202725023791729</v>
      </c>
      <c r="R50" s="3">
        <v>128.03670573329717</v>
      </c>
      <c r="S50" s="3">
        <v>145.50686928124222</v>
      </c>
      <c r="T50" s="3">
        <v>81.05802083333333</v>
      </c>
      <c r="U50" s="3">
        <v>7.6880208333333329</v>
      </c>
      <c r="V50" s="3">
        <v>0.43499999999999994</v>
      </c>
      <c r="W50" s="3">
        <v>51.474999999999994</v>
      </c>
      <c r="X50" s="3">
        <v>7.3949999999999996</v>
      </c>
      <c r="Y50" s="3">
        <v>6.9599999999999991</v>
      </c>
      <c r="Z50" s="3">
        <v>7.1049999999999995</v>
      </c>
      <c r="AA50" s="3">
        <v>0</v>
      </c>
      <c r="AB50" s="3">
        <v>81.05802083333333</v>
      </c>
      <c r="AC50" s="3">
        <v>28.15</v>
      </c>
      <c r="AD50" s="3">
        <v>-82.062591133441799</v>
      </c>
      <c r="AE50" s="3">
        <v>-62.753463001502553</v>
      </c>
      <c r="AF50" s="3">
        <v>-97.38729600006026</v>
      </c>
      <c r="AG50" s="3">
        <v>-79.304144257450488</v>
      </c>
    </row>
    <row r="51" spans="1:33">
      <c r="A51">
        <v>50</v>
      </c>
      <c r="B51">
        <v>2024</v>
      </c>
      <c r="C51">
        <v>3</v>
      </c>
      <c r="D51">
        <v>2</v>
      </c>
      <c r="E51" t="s">
        <v>13</v>
      </c>
      <c r="F51" t="s">
        <v>12</v>
      </c>
      <c r="G51" t="s">
        <v>12</v>
      </c>
      <c r="H51" t="s">
        <v>12</v>
      </c>
      <c r="I51" t="s">
        <v>13</v>
      </c>
      <c r="J51">
        <v>2525</v>
      </c>
      <c r="K51">
        <v>2891.7</v>
      </c>
      <c r="L51">
        <v>1496</v>
      </c>
      <c r="M51">
        <f t="shared" si="0"/>
        <v>6912.7</v>
      </c>
      <c r="N51" s="3">
        <v>40.892709019774742</v>
      </c>
      <c r="O51" s="3">
        <v>73.606876235594527</v>
      </c>
      <c r="P51" s="3">
        <v>27.261806013183161</v>
      </c>
      <c r="Q51" s="3">
        <v>58.885500988475627</v>
      </c>
      <c r="R51" s="3">
        <v>110.961354338277</v>
      </c>
      <c r="S51" s="3">
        <v>126.5005837657914</v>
      </c>
      <c r="T51" s="3">
        <v>65.253020833333323</v>
      </c>
      <c r="U51" s="3">
        <v>7.6880208333333329</v>
      </c>
      <c r="V51" s="3">
        <v>0.43499999999999994</v>
      </c>
      <c r="W51" s="3">
        <v>36.612499999999997</v>
      </c>
      <c r="X51" s="3">
        <v>9.3524999999999991</v>
      </c>
      <c r="Y51" s="3">
        <v>3.4799999999999995</v>
      </c>
      <c r="Z51" s="3">
        <v>7.6849999999999996</v>
      </c>
      <c r="AA51" s="3">
        <v>0</v>
      </c>
      <c r="AB51" s="3">
        <v>65.253020833333323</v>
      </c>
      <c r="AC51" s="3">
        <v>28.15</v>
      </c>
      <c r="AD51" s="3">
        <v>-70.068645318502263</v>
      </c>
      <c r="AE51" s="3">
        <v>-52.893707530196878</v>
      </c>
      <c r="AF51" s="3">
        <v>-83.699548325093843</v>
      </c>
      <c r="AG51" s="3">
        <v>-67.615082777315777</v>
      </c>
    </row>
    <row r="52" spans="1:33">
      <c r="A52">
        <v>51</v>
      </c>
      <c r="B52">
        <v>2024</v>
      </c>
      <c r="C52">
        <v>3</v>
      </c>
      <c r="D52">
        <v>3</v>
      </c>
      <c r="E52" t="s">
        <v>13</v>
      </c>
      <c r="F52" t="s">
        <v>12</v>
      </c>
      <c r="G52" t="s">
        <v>12</v>
      </c>
      <c r="H52" t="s">
        <v>12</v>
      </c>
      <c r="I52" t="s">
        <v>13</v>
      </c>
      <c r="J52">
        <v>5394.5</v>
      </c>
      <c r="K52">
        <v>1942.5</v>
      </c>
      <c r="L52">
        <v>2180.2000000000003</v>
      </c>
      <c r="M52">
        <f t="shared" si="0"/>
        <v>9517.2000000000007</v>
      </c>
      <c r="N52" s="3">
        <v>59.258706225591936</v>
      </c>
      <c r="O52" s="3">
        <v>106.66567120606548</v>
      </c>
      <c r="P52" s="3">
        <v>39.505804150394624</v>
      </c>
      <c r="Q52" s="3">
        <v>85.332536964852395</v>
      </c>
      <c r="R52" s="3">
        <v>122.36785363973131</v>
      </c>
      <c r="S52" s="3">
        <v>144.88616200545624</v>
      </c>
      <c r="T52" s="3">
        <v>72.068020833333335</v>
      </c>
      <c r="U52" s="3">
        <v>7.6880208333333329</v>
      </c>
      <c r="V52" s="3">
        <v>0.43499999999999994</v>
      </c>
      <c r="W52" s="3">
        <v>37.337499999999999</v>
      </c>
      <c r="X52" s="3">
        <v>16.239999999999998</v>
      </c>
      <c r="Y52" s="3">
        <v>1.7399999999999998</v>
      </c>
      <c r="Z52" s="3">
        <v>8.6274999999999995</v>
      </c>
      <c r="AA52" s="3">
        <v>0</v>
      </c>
      <c r="AB52" s="3">
        <v>72.068020833333335</v>
      </c>
      <c r="AC52" s="3">
        <v>28.15</v>
      </c>
      <c r="AD52" s="3">
        <v>-63.109147414139372</v>
      </c>
      <c r="AE52" s="3">
        <v>-38.22049079939076</v>
      </c>
      <c r="AF52" s="3">
        <v>-82.862049489336684</v>
      </c>
      <c r="AG52" s="3">
        <v>-59.553625040603848</v>
      </c>
    </row>
    <row r="53" spans="1:33">
      <c r="A53">
        <v>52</v>
      </c>
      <c r="B53">
        <v>2024</v>
      </c>
      <c r="C53">
        <v>3</v>
      </c>
      <c r="D53">
        <v>4</v>
      </c>
      <c r="E53" t="s">
        <v>13</v>
      </c>
      <c r="F53" t="s">
        <v>12</v>
      </c>
      <c r="G53" t="s">
        <v>12</v>
      </c>
      <c r="H53" t="s">
        <v>12</v>
      </c>
      <c r="I53" t="s">
        <v>13</v>
      </c>
      <c r="J53">
        <v>5439.1</v>
      </c>
      <c r="K53">
        <v>6867.5000000000009</v>
      </c>
      <c r="L53">
        <v>2762</v>
      </c>
      <c r="M53">
        <f t="shared" si="0"/>
        <v>15068.600000000002</v>
      </c>
      <c r="N53" s="3">
        <v>88.454528015980515</v>
      </c>
      <c r="O53" s="3">
        <v>159.21815042876494</v>
      </c>
      <c r="P53" s="3">
        <v>58.96968534398701</v>
      </c>
      <c r="Q53" s="3">
        <v>127.37452034301197</v>
      </c>
      <c r="R53" s="3">
        <v>150.22780908732847</v>
      </c>
      <c r="S53" s="3">
        <v>183.84052973340107</v>
      </c>
      <c r="T53" s="3">
        <v>92.629020833333342</v>
      </c>
      <c r="U53" s="3">
        <v>7.6880208333333329</v>
      </c>
      <c r="V53" s="3">
        <v>0.43499999999999994</v>
      </c>
      <c r="W53" s="3">
        <v>54.708500000000001</v>
      </c>
      <c r="X53" s="3">
        <v>15.805</v>
      </c>
      <c r="Y53" s="3">
        <v>6.3074999999999992</v>
      </c>
      <c r="Z53" s="3">
        <v>7.6849999999999996</v>
      </c>
      <c r="AA53" s="3">
        <v>0</v>
      </c>
      <c r="AB53" s="3">
        <v>92.629020833333342</v>
      </c>
      <c r="AC53" s="3">
        <v>28.15</v>
      </c>
      <c r="AD53" s="3">
        <v>-61.773281071347952</v>
      </c>
      <c r="AE53" s="3">
        <v>-24.622379304636127</v>
      </c>
      <c r="AF53" s="3">
        <v>-91.258123743341457</v>
      </c>
      <c r="AG53" s="3">
        <v>-56.466009390389104</v>
      </c>
    </row>
    <row r="54" spans="1:33">
      <c r="A54">
        <v>53</v>
      </c>
      <c r="B54">
        <v>2024</v>
      </c>
      <c r="C54">
        <v>4</v>
      </c>
      <c r="D54">
        <v>1</v>
      </c>
      <c r="E54" t="s">
        <v>13</v>
      </c>
      <c r="F54" t="s">
        <v>12</v>
      </c>
      <c r="G54" t="s">
        <v>12</v>
      </c>
      <c r="H54" t="s">
        <v>12</v>
      </c>
      <c r="I54" t="s">
        <v>12</v>
      </c>
      <c r="J54">
        <v>5200.8</v>
      </c>
      <c r="K54">
        <v>2142.5</v>
      </c>
      <c r="L54">
        <v>816.80000000000007</v>
      </c>
      <c r="M54">
        <f t="shared" si="0"/>
        <v>8160.1</v>
      </c>
      <c r="N54" s="3">
        <v>50.410041068371584</v>
      </c>
      <c r="O54" s="3">
        <v>90.738073923068839</v>
      </c>
      <c r="P54" s="3">
        <v>33.606694045581051</v>
      </c>
      <c r="Q54" s="3">
        <v>72.590459138455074</v>
      </c>
      <c r="R54" s="3">
        <v>134.80068735042622</v>
      </c>
      <c r="S54" s="3">
        <v>153.95650295640741</v>
      </c>
      <c r="T54" s="3">
        <v>86.713020833333331</v>
      </c>
      <c r="U54" s="3">
        <v>8.7755208333333332</v>
      </c>
      <c r="V54" s="3">
        <v>0.43499999999999994</v>
      </c>
      <c r="W54" s="3">
        <v>43.934999999999995</v>
      </c>
      <c r="X54" s="3">
        <v>14.209999999999999</v>
      </c>
      <c r="Y54" s="3">
        <v>1.7399999999999998</v>
      </c>
      <c r="Z54" s="3">
        <v>6.7424999999999997</v>
      </c>
      <c r="AA54" s="3">
        <v>10.875</v>
      </c>
      <c r="AB54" s="3">
        <v>86.713020833333331</v>
      </c>
      <c r="AC54" s="3">
        <v>28.15</v>
      </c>
      <c r="AD54" s="3">
        <v>-84.390646282054632</v>
      </c>
      <c r="AE54" s="3">
        <v>-63.218429033338566</v>
      </c>
      <c r="AF54" s="3">
        <v>-101.19399330484516</v>
      </c>
      <c r="AG54" s="3">
        <v>-81.366043817952331</v>
      </c>
    </row>
    <row r="55" spans="1:33">
      <c r="A55">
        <v>54</v>
      </c>
      <c r="B55">
        <v>2024</v>
      </c>
      <c r="C55">
        <v>4</v>
      </c>
      <c r="D55">
        <v>2</v>
      </c>
      <c r="E55" t="s">
        <v>13</v>
      </c>
      <c r="F55" t="s">
        <v>12</v>
      </c>
      <c r="G55" t="s">
        <v>12</v>
      </c>
      <c r="H55" t="s">
        <v>12</v>
      </c>
      <c r="I55" t="s">
        <v>12</v>
      </c>
      <c r="J55">
        <v>3831.4</v>
      </c>
      <c r="K55">
        <v>749.1</v>
      </c>
      <c r="L55">
        <v>902.8</v>
      </c>
      <c r="M55">
        <f t="shared" si="0"/>
        <v>5483.3</v>
      </c>
      <c r="N55" s="3">
        <v>34.786304716721752</v>
      </c>
      <c r="O55" s="3">
        <v>62.615348490099151</v>
      </c>
      <c r="P55" s="3">
        <v>23.190869811147834</v>
      </c>
      <c r="Q55" s="3">
        <v>50.092278792079327</v>
      </c>
      <c r="R55" s="3">
        <v>136.33225326251375</v>
      </c>
      <c r="S55" s="3">
        <v>149.551049054868</v>
      </c>
      <c r="T55" s="3">
        <v>92.150520833333317</v>
      </c>
      <c r="U55" s="3">
        <v>8.7755208333333332</v>
      </c>
      <c r="V55" s="3">
        <v>0.43499999999999994</v>
      </c>
      <c r="W55" s="3">
        <v>51.474999999999994</v>
      </c>
      <c r="X55" s="3">
        <v>12.469999999999999</v>
      </c>
      <c r="Y55" s="3">
        <v>1.1599999999999999</v>
      </c>
      <c r="Z55" s="3">
        <v>6.9599999999999991</v>
      </c>
      <c r="AA55" s="3">
        <v>10.875</v>
      </c>
      <c r="AB55" s="3">
        <v>92.150520833333317</v>
      </c>
      <c r="AC55" s="3">
        <v>28.15</v>
      </c>
      <c r="AD55" s="3">
        <v>-101.54594854579199</v>
      </c>
      <c r="AE55" s="3">
        <v>-86.935700564768851</v>
      </c>
      <c r="AF55" s="3">
        <v>-113.14138345136591</v>
      </c>
      <c r="AG55" s="3">
        <v>-99.458770262788676</v>
      </c>
    </row>
    <row r="56" spans="1:33">
      <c r="A56">
        <v>55</v>
      </c>
      <c r="B56">
        <v>2024</v>
      </c>
      <c r="C56">
        <v>4</v>
      </c>
      <c r="D56">
        <v>3</v>
      </c>
      <c r="E56" t="s">
        <v>13</v>
      </c>
      <c r="F56" t="s">
        <v>12</v>
      </c>
      <c r="G56" t="s">
        <v>12</v>
      </c>
      <c r="H56" t="s">
        <v>12</v>
      </c>
      <c r="I56" t="s">
        <v>12</v>
      </c>
      <c r="J56">
        <v>5913.1</v>
      </c>
      <c r="K56">
        <v>3494.9</v>
      </c>
      <c r="L56">
        <v>1297.3</v>
      </c>
      <c r="M56">
        <f t="shared" si="0"/>
        <v>10705.3</v>
      </c>
      <c r="N56" s="3">
        <v>65.064133684612017</v>
      </c>
      <c r="O56" s="3">
        <v>117.11544063230164</v>
      </c>
      <c r="P56" s="3">
        <v>43.376089123074678</v>
      </c>
      <c r="Q56" s="3">
        <v>93.692352505841313</v>
      </c>
      <c r="R56" s="3">
        <v>137.66671050448633</v>
      </c>
      <c r="S56" s="3">
        <v>162.3910813046389</v>
      </c>
      <c r="T56" s="3">
        <v>85.915520833333332</v>
      </c>
      <c r="U56" s="3">
        <v>8.7755208333333332</v>
      </c>
      <c r="V56" s="3">
        <v>0.43499999999999994</v>
      </c>
      <c r="W56" s="3">
        <v>38.497499999999995</v>
      </c>
      <c r="X56" s="3">
        <v>16.239999999999998</v>
      </c>
      <c r="Y56" s="3">
        <v>2.9</v>
      </c>
      <c r="Z56" s="3">
        <v>8.192499999999999</v>
      </c>
      <c r="AA56" s="3">
        <v>10.875</v>
      </c>
      <c r="AB56" s="3">
        <v>85.915520833333332</v>
      </c>
      <c r="AC56" s="3">
        <v>28.15</v>
      </c>
      <c r="AD56" s="3">
        <v>-72.602576819874315</v>
      </c>
      <c r="AE56" s="3">
        <v>-45.275640672337261</v>
      </c>
      <c r="AF56" s="3">
        <v>-94.290621381411654</v>
      </c>
      <c r="AG56" s="3">
        <v>-68.698728798797589</v>
      </c>
    </row>
    <row r="57" spans="1:33">
      <c r="A57">
        <v>56</v>
      </c>
      <c r="B57">
        <v>2024</v>
      </c>
      <c r="C57">
        <v>4</v>
      </c>
      <c r="D57">
        <v>4</v>
      </c>
      <c r="E57" t="s">
        <v>13</v>
      </c>
      <c r="F57" t="s">
        <v>12</v>
      </c>
      <c r="G57" t="s">
        <v>12</v>
      </c>
      <c r="H57" t="s">
        <v>12</v>
      </c>
      <c r="I57" t="s">
        <v>12</v>
      </c>
      <c r="J57">
        <v>6022.8</v>
      </c>
      <c r="K57">
        <v>6069.5</v>
      </c>
      <c r="L57">
        <v>683.80000000000007</v>
      </c>
      <c r="M57">
        <f t="shared" si="0"/>
        <v>12776.099999999999</v>
      </c>
      <c r="N57" s="3">
        <v>75.110077358664569</v>
      </c>
      <c r="O57" s="3">
        <v>135.19813924559622</v>
      </c>
      <c r="P57" s="3">
        <v>50.073384905776379</v>
      </c>
      <c r="Q57" s="3">
        <v>108.15851139647698</v>
      </c>
      <c r="R57" s="3">
        <v>177.44319642299951</v>
      </c>
      <c r="S57" s="3">
        <v>205.98502581929202</v>
      </c>
      <c r="T57" s="3">
        <v>123.18052083333333</v>
      </c>
      <c r="U57" s="3">
        <v>8.7755208333333332</v>
      </c>
      <c r="V57" s="3">
        <v>0.43499999999999994</v>
      </c>
      <c r="W57" s="3">
        <v>72.282499999999999</v>
      </c>
      <c r="X57" s="3">
        <v>16.674999999999997</v>
      </c>
      <c r="Y57" s="3">
        <v>5.8</v>
      </c>
      <c r="Z57" s="3">
        <v>8.3374999999999986</v>
      </c>
      <c r="AA57" s="3">
        <v>10.875</v>
      </c>
      <c r="AB57" s="3">
        <v>123.18052083333333</v>
      </c>
      <c r="AC57" s="3">
        <v>28.15</v>
      </c>
      <c r="AD57" s="3">
        <v>-102.33311906433494</v>
      </c>
      <c r="AE57" s="3">
        <v>-70.786886573695796</v>
      </c>
      <c r="AF57" s="3">
        <v>-127.36981151722313</v>
      </c>
      <c r="AG57" s="3">
        <v>-97.826514422815038</v>
      </c>
    </row>
    <row r="58" spans="1:33">
      <c r="A58">
        <v>57</v>
      </c>
      <c r="B58">
        <v>2024</v>
      </c>
      <c r="C58">
        <v>5</v>
      </c>
      <c r="D58">
        <v>1</v>
      </c>
      <c r="E58" t="s">
        <v>13</v>
      </c>
      <c r="F58" t="s">
        <v>13</v>
      </c>
      <c r="G58" t="s">
        <v>12</v>
      </c>
      <c r="H58" t="s">
        <v>12</v>
      </c>
      <c r="I58" t="s">
        <v>12</v>
      </c>
      <c r="J58">
        <v>3564.5</v>
      </c>
      <c r="K58">
        <v>3765.3</v>
      </c>
      <c r="L58">
        <v>598.5</v>
      </c>
      <c r="M58">
        <f t="shared" si="0"/>
        <v>7928.3</v>
      </c>
      <c r="N58" s="3">
        <v>46.561899178330535</v>
      </c>
      <c r="O58" s="3">
        <v>83.811418520994962</v>
      </c>
      <c r="P58" s="3">
        <v>31.041266118887023</v>
      </c>
      <c r="Q58" s="3">
        <v>67.04913481679597</v>
      </c>
      <c r="R58" s="3">
        <v>134.20068312791594</v>
      </c>
      <c r="S58" s="3">
        <v>151.89420481568155</v>
      </c>
      <c r="T58" s="3">
        <v>93.410208333333316</v>
      </c>
      <c r="U58" s="3">
        <v>14.892708333333331</v>
      </c>
      <c r="V58" s="3">
        <v>0.43499999999999994</v>
      </c>
      <c r="W58" s="3">
        <v>47.704999999999998</v>
      </c>
      <c r="X58" s="3">
        <v>12.034999999999998</v>
      </c>
      <c r="Y58" s="3">
        <v>2.3199999999999998</v>
      </c>
      <c r="Z58" s="3">
        <v>5.1475</v>
      </c>
      <c r="AA58" s="3">
        <v>10.875</v>
      </c>
      <c r="AB58" s="3">
        <v>93.410208333333316</v>
      </c>
      <c r="AC58" s="3">
        <v>28.15</v>
      </c>
      <c r="AD58" s="3">
        <v>-87.638783949585402</v>
      </c>
      <c r="AE58" s="3">
        <v>-68.082786294686585</v>
      </c>
      <c r="AF58" s="3">
        <v>-103.15941700902891</v>
      </c>
      <c r="AG58" s="3">
        <v>-84.845069998885577</v>
      </c>
    </row>
    <row r="59" spans="1:33">
      <c r="A59">
        <v>58</v>
      </c>
      <c r="B59">
        <v>2024</v>
      </c>
      <c r="C59">
        <v>5</v>
      </c>
      <c r="D59">
        <v>2</v>
      </c>
      <c r="E59" t="s">
        <v>13</v>
      </c>
      <c r="F59" t="s">
        <v>13</v>
      </c>
      <c r="G59" t="s">
        <v>12</v>
      </c>
      <c r="H59" t="s">
        <v>12</v>
      </c>
      <c r="I59" t="s">
        <v>12</v>
      </c>
      <c r="J59">
        <v>5283.4</v>
      </c>
      <c r="K59">
        <v>6629.2000000000007</v>
      </c>
      <c r="L59">
        <v>646.49999999999989</v>
      </c>
      <c r="M59">
        <f t="shared" si="0"/>
        <v>12559.1</v>
      </c>
      <c r="N59" s="3">
        <v>72.86854670857889</v>
      </c>
      <c r="O59" s="3">
        <v>131.163384075442</v>
      </c>
      <c r="P59" s="3">
        <v>48.579031139052589</v>
      </c>
      <c r="Q59" s="3">
        <v>104.9307072603536</v>
      </c>
      <c r="R59" s="3">
        <v>138.74734501047806</v>
      </c>
      <c r="S59" s="3">
        <v>166.43739275973803</v>
      </c>
      <c r="T59" s="3">
        <v>91.380208333333329</v>
      </c>
      <c r="U59" s="3">
        <v>14.892708333333331</v>
      </c>
      <c r="V59" s="3">
        <v>0.43499999999999994</v>
      </c>
      <c r="W59" s="3">
        <v>40.672499999999999</v>
      </c>
      <c r="X59" s="3">
        <v>14.645</v>
      </c>
      <c r="Y59" s="3">
        <v>3.5524999999999998</v>
      </c>
      <c r="Z59" s="3">
        <v>6.3074999999999992</v>
      </c>
      <c r="AA59" s="3">
        <v>10.875</v>
      </c>
      <c r="AB59" s="3">
        <v>91.380208333333329</v>
      </c>
      <c r="AC59" s="3">
        <v>28.15</v>
      </c>
      <c r="AD59" s="3">
        <v>-65.878798301899167</v>
      </c>
      <c r="AE59" s="3">
        <v>-35.274008684296035</v>
      </c>
      <c r="AF59" s="3">
        <v>-90.168313871425468</v>
      </c>
      <c r="AG59" s="3">
        <v>-61.506685499384432</v>
      </c>
    </row>
    <row r="60" spans="1:33">
      <c r="A60">
        <v>59</v>
      </c>
      <c r="B60">
        <v>2024</v>
      </c>
      <c r="C60">
        <v>5</v>
      </c>
      <c r="D60">
        <v>3</v>
      </c>
      <c r="E60" t="s">
        <v>13</v>
      </c>
      <c r="F60" t="s">
        <v>13</v>
      </c>
      <c r="G60" t="s">
        <v>12</v>
      </c>
      <c r="H60" t="s">
        <v>12</v>
      </c>
      <c r="I60" t="s">
        <v>12</v>
      </c>
      <c r="J60">
        <v>4165.6000000000004</v>
      </c>
      <c r="K60">
        <v>4799.8</v>
      </c>
      <c r="L60">
        <v>853.6</v>
      </c>
      <c r="M60">
        <f t="shared" si="0"/>
        <v>9819.0000000000018</v>
      </c>
      <c r="N60" s="3">
        <v>57.433010171665813</v>
      </c>
      <c r="O60" s="3">
        <v>103.37941830899845</v>
      </c>
      <c r="P60" s="3">
        <v>38.288673447777207</v>
      </c>
      <c r="Q60" s="3">
        <v>82.703534647198765</v>
      </c>
      <c r="R60" s="3">
        <v>147.35846087624978</v>
      </c>
      <c r="S60" s="3">
        <v>169.18300474148276</v>
      </c>
      <c r="T60" s="3">
        <v>103.85020833333331</v>
      </c>
      <c r="U60" s="3">
        <v>14.892708333333331</v>
      </c>
      <c r="V60" s="3">
        <v>0.43499999999999994</v>
      </c>
      <c r="W60" s="3">
        <v>54.012499999999996</v>
      </c>
      <c r="X60" s="3">
        <v>13.702499999999999</v>
      </c>
      <c r="Y60" s="3">
        <v>3.7699999999999996</v>
      </c>
      <c r="Z60" s="3">
        <v>6.1624999999999996</v>
      </c>
      <c r="AA60" s="3">
        <v>10.875</v>
      </c>
      <c r="AB60" s="3">
        <v>103.85020833333331</v>
      </c>
      <c r="AC60" s="3">
        <v>28.15</v>
      </c>
      <c r="AD60" s="3">
        <v>-89.925450704583966</v>
      </c>
      <c r="AE60" s="3">
        <v>-65.803586432484309</v>
      </c>
      <c r="AF60" s="3">
        <v>-109.06978742847258</v>
      </c>
      <c r="AG60" s="3">
        <v>-86.479470094283997</v>
      </c>
    </row>
    <row r="61" spans="1:33">
      <c r="A61">
        <v>60</v>
      </c>
      <c r="B61">
        <v>2024</v>
      </c>
      <c r="C61">
        <v>5</v>
      </c>
      <c r="D61">
        <v>4</v>
      </c>
      <c r="E61" t="s">
        <v>13</v>
      </c>
      <c r="F61" t="s">
        <v>13</v>
      </c>
      <c r="G61" t="s">
        <v>12</v>
      </c>
      <c r="H61" t="s">
        <v>12</v>
      </c>
      <c r="I61" t="s">
        <v>12</v>
      </c>
      <c r="J61">
        <v>5637.7</v>
      </c>
      <c r="K61">
        <v>3866.5</v>
      </c>
      <c r="L61">
        <v>603.1</v>
      </c>
      <c r="M61">
        <f t="shared" si="0"/>
        <v>10107.300000000001</v>
      </c>
      <c r="N61" s="3">
        <v>60.775570365083517</v>
      </c>
      <c r="O61" s="3">
        <v>109.39602665715033</v>
      </c>
      <c r="P61" s="3">
        <v>40.517046910055676</v>
      </c>
      <c r="Q61" s="3">
        <v>87.516821325720272</v>
      </c>
      <c r="R61" s="3">
        <v>128.90910092460422</v>
      </c>
      <c r="S61" s="3">
        <v>152.00381766333595</v>
      </c>
      <c r="T61" s="3">
        <v>84.565208333333345</v>
      </c>
      <c r="U61" s="3">
        <v>14.892708333333331</v>
      </c>
      <c r="V61" s="3">
        <v>0.43499999999999994</v>
      </c>
      <c r="W61" s="3">
        <v>32.914999999999999</v>
      </c>
      <c r="X61" s="3">
        <v>17.11</v>
      </c>
      <c r="Y61" s="3">
        <v>2.0299999999999998</v>
      </c>
      <c r="Z61" s="3">
        <v>6.3074999999999992</v>
      </c>
      <c r="AA61" s="3">
        <v>10.875</v>
      </c>
      <c r="AB61" s="3">
        <v>84.565208333333345</v>
      </c>
      <c r="AC61" s="3">
        <v>28.15</v>
      </c>
      <c r="AD61" s="3">
        <v>-68.133530559520693</v>
      </c>
      <c r="AE61" s="3">
        <v>-42.607791006185622</v>
      </c>
      <c r="AF61" s="3">
        <v>-88.392054014548535</v>
      </c>
      <c r="AG61" s="3">
        <v>-64.486996337615679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5196-5E28-4BC3-BBDD-5F09040B570F}">
  <dimension ref="A1:D11"/>
  <sheetViews>
    <sheetView workbookViewId="0">
      <selection activeCell="F23" sqref="F23"/>
    </sheetView>
  </sheetViews>
  <sheetFormatPr defaultRowHeight="15"/>
  <cols>
    <col min="1" max="1" width="13.5703125" bestFit="1" customWidth="1"/>
    <col min="3" max="3" width="10.140625" bestFit="1" customWidth="1"/>
  </cols>
  <sheetData>
    <row r="1" spans="1:4" ht="48">
      <c r="A1" s="1" t="s">
        <v>368</v>
      </c>
      <c r="B1" s="1" t="s">
        <v>369</v>
      </c>
      <c r="C1" s="1" t="s">
        <v>370</v>
      </c>
      <c r="D1" s="1" t="s">
        <v>371</v>
      </c>
    </row>
    <row r="2" spans="1:4">
      <c r="A2" t="s">
        <v>362</v>
      </c>
      <c r="B2" t="s">
        <v>365</v>
      </c>
      <c r="C2" s="70">
        <v>1.3155000000000001</v>
      </c>
      <c r="D2" s="70">
        <v>-0.3155</v>
      </c>
    </row>
    <row r="3" spans="1:4">
      <c r="A3" t="s">
        <v>362</v>
      </c>
      <c r="B3">
        <v>2023</v>
      </c>
      <c r="C3" s="70">
        <v>2.3363</v>
      </c>
      <c r="D3" s="70">
        <v>-1.3363</v>
      </c>
    </row>
    <row r="4" spans="1:4">
      <c r="A4" t="s">
        <v>363</v>
      </c>
      <c r="B4" t="s">
        <v>365</v>
      </c>
      <c r="C4" s="70">
        <v>1.0338000000000001</v>
      </c>
      <c r="D4" s="70">
        <v>-3.3799999999999997E-2</v>
      </c>
    </row>
    <row r="5" spans="1:4">
      <c r="A5" t="s">
        <v>363</v>
      </c>
      <c r="B5">
        <v>2023</v>
      </c>
      <c r="C5" s="70">
        <v>1.5407999999999999</v>
      </c>
      <c r="D5" s="70">
        <v>-0.54079999999999995</v>
      </c>
    </row>
    <row r="6" spans="1:4">
      <c r="A6" t="s">
        <v>364</v>
      </c>
      <c r="B6" t="s">
        <v>365</v>
      </c>
      <c r="C6" s="70">
        <v>0.87590000000000001</v>
      </c>
      <c r="D6" s="70">
        <v>0.11</v>
      </c>
    </row>
    <row r="7" spans="1:4">
      <c r="A7" t="s">
        <v>364</v>
      </c>
      <c r="B7">
        <v>2023</v>
      </c>
      <c r="C7" s="70">
        <v>0.9264</v>
      </c>
      <c r="D7" s="70">
        <v>7.3599999999999999E-2</v>
      </c>
    </row>
    <row r="8" spans="1:4">
      <c r="A8" t="s">
        <v>366</v>
      </c>
      <c r="B8" t="s">
        <v>365</v>
      </c>
      <c r="C8" s="70">
        <v>0.85160000000000002</v>
      </c>
      <c r="D8" s="70">
        <v>0.1484</v>
      </c>
    </row>
    <row r="9" spans="1:4">
      <c r="A9" t="s">
        <v>366</v>
      </c>
      <c r="B9">
        <v>2023</v>
      </c>
      <c r="C9" s="70">
        <v>0.87509999999999999</v>
      </c>
      <c r="D9" s="70">
        <v>0.125</v>
      </c>
    </row>
    <row r="10" spans="1:4">
      <c r="A10" t="s">
        <v>367</v>
      </c>
      <c r="B10" t="s">
        <v>365</v>
      </c>
      <c r="C10" s="70">
        <v>0.90920000000000001</v>
      </c>
      <c r="D10" s="70">
        <v>7.4800000000000005E-2</v>
      </c>
    </row>
    <row r="11" spans="1:4">
      <c r="A11" t="s">
        <v>367</v>
      </c>
      <c r="B11">
        <v>2023</v>
      </c>
      <c r="C11" s="70">
        <v>0.93969999999999998</v>
      </c>
      <c r="D11" s="70">
        <v>6.0299999999999999E-2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93E2-81DC-427D-AB4A-C0363BE0F501}">
  <dimension ref="A1:AO50"/>
  <sheetViews>
    <sheetView zoomScale="115" zoomScaleNormal="115"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B40" sqref="B40"/>
    </sheetView>
  </sheetViews>
  <sheetFormatPr defaultRowHeight="15"/>
  <cols>
    <col min="1" max="1" width="68.42578125" bestFit="1" customWidth="1"/>
    <col min="2" max="2" width="8.5703125" bestFit="1" customWidth="1"/>
    <col min="3" max="21" width="9" customWidth="1"/>
    <col min="22" max="22" width="10.5703125" bestFit="1" customWidth="1"/>
    <col min="23" max="123" width="9" customWidth="1"/>
  </cols>
  <sheetData>
    <row r="1" spans="1:41" s="1" customFormat="1" ht="71.25">
      <c r="A1" s="16"/>
      <c r="B1" s="17" t="s">
        <v>33</v>
      </c>
      <c r="C1" s="17" t="s">
        <v>16</v>
      </c>
      <c r="D1" s="17" t="s">
        <v>17</v>
      </c>
      <c r="E1" s="17" t="s">
        <v>18</v>
      </c>
      <c r="F1" s="17" t="s">
        <v>19</v>
      </c>
      <c r="G1" s="17" t="s">
        <v>20</v>
      </c>
      <c r="H1" s="17" t="s">
        <v>21</v>
      </c>
      <c r="I1" s="17" t="s">
        <v>22</v>
      </c>
      <c r="J1" s="17" t="s">
        <v>23</v>
      </c>
      <c r="K1" s="17" t="s">
        <v>24</v>
      </c>
      <c r="L1" s="17" t="s">
        <v>25</v>
      </c>
      <c r="M1" s="17" t="s">
        <v>26</v>
      </c>
      <c r="N1" s="17" t="s">
        <v>27</v>
      </c>
      <c r="O1" s="17" t="s">
        <v>28</v>
      </c>
      <c r="P1" s="17" t="s">
        <v>34</v>
      </c>
      <c r="Q1" s="17" t="s">
        <v>35</v>
      </c>
      <c r="R1" s="17" t="s">
        <v>29</v>
      </c>
      <c r="S1" s="17" t="s">
        <v>30</v>
      </c>
      <c r="T1" s="17" t="s">
        <v>31</v>
      </c>
      <c r="U1" s="17" t="s">
        <v>32</v>
      </c>
      <c r="V1" s="49" t="s">
        <v>271</v>
      </c>
    </row>
    <row r="2" spans="1:41">
      <c r="A2" s="14" t="s">
        <v>158</v>
      </c>
      <c r="B2" s="68"/>
      <c r="C2" s="68"/>
      <c r="D2" s="68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50"/>
      <c r="AO2" s="2"/>
    </row>
    <row r="3" spans="1:41">
      <c r="A3" t="s">
        <v>300</v>
      </c>
      <c r="B3" s="4">
        <f>'Crop Revenue (2022-2024)'!C5</f>
        <v>14.622402599056063</v>
      </c>
      <c r="C3" s="4">
        <f>'Crop Revenue (2022-2024)'!D5</f>
        <v>16.728878728714061</v>
      </c>
      <c r="D3" s="4">
        <f>'Crop Revenue (2022-2024)'!E5</f>
        <v>14.764695556938049</v>
      </c>
      <c r="E3" s="4">
        <f>'Crop Revenue (2022-2024)'!F5</f>
        <v>17.189529665148466</v>
      </c>
      <c r="F3" s="4">
        <f>'Crop Revenue (2022-2024)'!G5</f>
        <v>11.756280203743286</v>
      </c>
      <c r="G3" s="4">
        <f>'Crop Revenue (2022-2024)'!H5</f>
        <v>12.854097391453033</v>
      </c>
      <c r="H3" s="4">
        <f>'Crop Revenue (2022-2024)'!I5</f>
        <v>11.684233136461268</v>
      </c>
      <c r="I3" s="4">
        <f>'Crop Revenue (2022-2024)'!J5</f>
        <v>17.522747351327798</v>
      </c>
      <c r="J3" s="4">
        <f>'Crop Revenue (2022-2024)'!K5</f>
        <v>18.283759931852469</v>
      </c>
      <c r="K3" s="4">
        <f>'Crop Revenue (2022-2024)'!L5</f>
        <v>15.687036358217401</v>
      </c>
      <c r="L3" s="4">
        <f>'Crop Revenue (2022-2024)'!M5</f>
        <v>28.993622622003102</v>
      </c>
      <c r="M3" s="4">
        <f>'Crop Revenue (2022-2024)'!N5</f>
        <v>22.002942862553006</v>
      </c>
      <c r="N3" s="4">
        <f>'Crop Revenue (2022-2024)'!O5</f>
        <v>23.340954787224486</v>
      </c>
      <c r="O3" s="4">
        <f>'Crop Revenue (2022-2024)'!P5</f>
        <v>12.176196879149446</v>
      </c>
      <c r="P3" s="4">
        <f>'Crop Revenue (2022-2024)'!Q5</f>
        <v>18.742980619360949</v>
      </c>
      <c r="Q3" s="4">
        <f>'Crop Revenue (2022-2024)'!R5</f>
        <v>11.282266498442203</v>
      </c>
      <c r="R3" s="4">
        <f>'Crop Revenue (2022-2024)'!S5</f>
        <v>11.201524399539613</v>
      </c>
      <c r="S3" s="4">
        <f>'Crop Revenue (2022-2024)'!T5</f>
        <v>24.350951935104202</v>
      </c>
      <c r="T3" s="4">
        <f>'Crop Revenue (2022-2024)'!U5</f>
        <v>10.363825123425245</v>
      </c>
      <c r="U3" s="4">
        <f>'Crop Revenue (2022-2024)'!V5</f>
        <v>25.236231376643307</v>
      </c>
      <c r="V3" s="42">
        <f>SUM(B3:U3)</f>
        <v>338.78515802635752</v>
      </c>
    </row>
    <row r="4" spans="1:41">
      <c r="A4" t="s">
        <v>301</v>
      </c>
      <c r="B4" s="3">
        <f>'Crop Revenue (2022-2024)'!C17</f>
        <v>3.007169190257764</v>
      </c>
      <c r="C4" s="3">
        <f>'Crop Revenue (2022-2024)'!D17</f>
        <v>8.5709306574094271</v>
      </c>
      <c r="D4" s="3">
        <f>'Crop Revenue (2022-2024)'!E17</f>
        <v>3.3149714356967688</v>
      </c>
      <c r="E4" s="3">
        <f>'Crop Revenue (2022-2024)'!F17</f>
        <v>7.3439942342945495</v>
      </c>
      <c r="F4" s="3">
        <f>'Crop Revenue (2022-2024)'!G17</f>
        <v>5.6711095030103786</v>
      </c>
      <c r="G4" s="3">
        <f>'Crop Revenue (2022-2024)'!H17</f>
        <v>4.5547255347350744</v>
      </c>
      <c r="H4" s="3">
        <f>'Crop Revenue (2022-2024)'!I17</f>
        <v>7.876283831670273</v>
      </c>
      <c r="I4" s="3">
        <f>'Crop Revenue (2022-2024)'!J17</f>
        <v>4.4041178426347871</v>
      </c>
      <c r="J4" s="3">
        <f>'Crop Revenue (2022-2024)'!K17</f>
        <v>8.8176368575159216</v>
      </c>
      <c r="K4" s="3">
        <f>'Crop Revenue (2022-2024)'!L17</f>
        <v>9.5803128258087753</v>
      </c>
      <c r="L4" s="3">
        <f>'Crop Revenue (2022-2024)'!M17</f>
        <v>14.436169638391405</v>
      </c>
      <c r="M4" s="3">
        <f>'Crop Revenue (2022-2024)'!N17</f>
        <v>8.6582100135414528</v>
      </c>
      <c r="N4" s="3">
        <f>'Crop Revenue (2022-2024)'!O17</f>
        <v>12.516155860381865</v>
      </c>
      <c r="O4" s="3">
        <f>'Crop Revenue (2022-2024)'!P17</f>
        <v>11.191580669666024</v>
      </c>
      <c r="P4" s="3">
        <f>'Crop Revenue (2022-2024)'!Q17</f>
        <v>11.996984869917453</v>
      </c>
      <c r="Q4" s="3">
        <f>'Crop Revenue (2022-2024)'!R17</f>
        <v>5.7981751324432551</v>
      </c>
      <c r="R4" s="3">
        <f>'Crop Revenue (2022-2024)'!S17</f>
        <v>6.6421725744637188</v>
      </c>
      <c r="S4" s="3">
        <f>'Crop Revenue (2022-2024)'!T17</f>
        <v>12.387511721151746</v>
      </c>
      <c r="T4" s="3">
        <f>'Crop Revenue (2022-2024)'!U17</f>
        <v>9.1668138068548188</v>
      </c>
      <c r="U4" s="3">
        <f>'Crop Revenue (2022-2024)'!V17</f>
        <v>13.890350933372179</v>
      </c>
      <c r="V4" s="45">
        <f t="shared" ref="V4:V13" si="0">SUM(B4:U4)</f>
        <v>169.82537713321767</v>
      </c>
    </row>
    <row r="5" spans="1:41">
      <c r="A5" t="s">
        <v>302</v>
      </c>
      <c r="B5" s="3">
        <f>'Crop Revenue (2022-2024)'!C29</f>
        <v>8.9383117268925838E-2</v>
      </c>
      <c r="C5" s="3">
        <f>'Crop Revenue (2022-2024)'!D29</f>
        <v>0.14739335231763268</v>
      </c>
      <c r="D5" s="3">
        <f>'Crop Revenue (2022-2024)'!E29</f>
        <v>0.14354573468685111</v>
      </c>
      <c r="E5" s="3">
        <f>'Crop Revenue (2022-2024)'!F29</f>
        <v>0.16781532281947337</v>
      </c>
      <c r="F5" s="3">
        <f>'Crop Revenue (2022-2024)'!G29</f>
        <v>0.18498161686449885</v>
      </c>
      <c r="G5" s="3">
        <f>'Crop Revenue (2022-2024)'!H29</f>
        <v>7.5472499680715524E-2</v>
      </c>
      <c r="H5" s="3">
        <f>'Crop Revenue (2022-2024)'!I29</f>
        <v>0.1604160581448934</v>
      </c>
      <c r="I5" s="3">
        <f>'Crop Revenue (2022-2024)'!J29</f>
        <v>8.9975058442892233E-2</v>
      </c>
      <c r="J5" s="3">
        <f>'Crop Revenue (2022-2024)'!K29</f>
        <v>0.2979349057392654</v>
      </c>
      <c r="K5" s="3">
        <f>'Crop Revenue (2022-2024)'!L29</f>
        <v>0.27033523513634061</v>
      </c>
      <c r="L5" s="3">
        <f>'Crop Revenue (2022-2024)'!M29</f>
        <v>0.4111643235974185</v>
      </c>
      <c r="M5" s="3">
        <f>'Crop Revenue (2022-2024)'!N29</f>
        <v>0.41187200745903196</v>
      </c>
      <c r="N5" s="3">
        <f>'Crop Revenue (2022-2024)'!O29</f>
        <v>0.33827288585123244</v>
      </c>
      <c r="O5" s="3">
        <f>'Crop Revenue (2022-2024)'!P29</f>
        <v>0.25759692562729836</v>
      </c>
      <c r="P5" s="3">
        <f>'Crop Revenue (2022-2024)'!Q29</f>
        <v>0.41682579449032614</v>
      </c>
      <c r="Q5" s="3">
        <f>'Crop Revenue (2022-2024)'!R29</f>
        <v>0.34110362129768629</v>
      </c>
      <c r="R5" s="3">
        <f>'Crop Revenue (2022-2024)'!S29</f>
        <v>0.5647317215675387</v>
      </c>
      <c r="S5" s="3">
        <f>'Crop Revenue (2022-2024)'!T29</f>
        <v>0.36445718873093036</v>
      </c>
      <c r="T5" s="3">
        <f>'Crop Revenue (2022-2024)'!U29</f>
        <v>0.41045663973580504</v>
      </c>
      <c r="U5" s="3">
        <f>'Crop Revenue (2022-2024)'!V29</f>
        <v>0.51943995442427748</v>
      </c>
      <c r="V5" s="45">
        <f t="shared" si="0"/>
        <v>5.6631739638830334</v>
      </c>
      <c r="X5" s="4"/>
    </row>
    <row r="6" spans="1:41">
      <c r="A6" t="s">
        <v>303</v>
      </c>
      <c r="B6" s="4">
        <f>'Crop Revenue (2022-2024)'!C41</f>
        <v>24.858084418395311</v>
      </c>
      <c r="C6" s="4">
        <f>'Crop Revenue (2022-2024)'!D41</f>
        <v>28.439093838813911</v>
      </c>
      <c r="D6" s="4">
        <f>'Crop Revenue (2022-2024)'!E41</f>
        <v>25.099982446794687</v>
      </c>
      <c r="E6" s="4">
        <f>'Crop Revenue (2022-2024)'!F41</f>
        <v>29.222200430752398</v>
      </c>
      <c r="F6" s="4">
        <f>'Crop Revenue (2022-2024)'!G41</f>
        <v>19.98567634636359</v>
      </c>
      <c r="G6" s="4">
        <f>'Crop Revenue (2022-2024)'!H41</f>
        <v>21.851965565470159</v>
      </c>
      <c r="H6" s="4">
        <f>'Crop Revenue (2022-2024)'!I41</f>
        <v>19.86319633198416</v>
      </c>
      <c r="I6" s="4">
        <f>'Crop Revenue (2022-2024)'!J41</f>
        <v>29.788670497257264</v>
      </c>
      <c r="J6" s="4">
        <f>'Crop Revenue (2022-2024)'!K41</f>
        <v>32.91076787733445</v>
      </c>
      <c r="K6" s="4">
        <f>'Crop Revenue (2022-2024)'!L41</f>
        <v>28.236665444791328</v>
      </c>
      <c r="L6" s="4">
        <f>'Crop Revenue (2022-2024)'!M41</f>
        <v>52.188520719605592</v>
      </c>
      <c r="M6" s="4">
        <f>'Crop Revenue (2022-2024)'!N41</f>
        <v>39.605297152595412</v>
      </c>
      <c r="N6" s="4">
        <f>'Crop Revenue (2022-2024)'!O41</f>
        <v>42.013718617004081</v>
      </c>
      <c r="O6" s="4">
        <f>'Crop Revenue (2022-2024)'!P41</f>
        <v>21.917154382469004</v>
      </c>
      <c r="P6" s="4">
        <f>'Crop Revenue (2022-2024)'!Q41</f>
        <v>33.737365114849709</v>
      </c>
      <c r="Q6" s="4">
        <f>'Crop Revenue (2022-2024)'!R41</f>
        <v>20.308079697195968</v>
      </c>
      <c r="R6" s="4">
        <f>'Crop Revenue (2022-2024)'!S41</f>
        <v>20.162743919171305</v>
      </c>
      <c r="S6" s="4">
        <f>'Crop Revenue (2022-2024)'!T41</f>
        <v>43.831713483187571</v>
      </c>
      <c r="T6" s="4">
        <f>'Crop Revenue (2022-2024)'!U41</f>
        <v>18.654885222165444</v>
      </c>
      <c r="U6" s="4">
        <f>'Crop Revenue (2022-2024)'!V41</f>
        <v>45.42521647795796</v>
      </c>
      <c r="V6" s="42">
        <f>SUM(B6:U6)</f>
        <v>598.10099798415933</v>
      </c>
    </row>
    <row r="7" spans="1:41">
      <c r="A7" t="s">
        <v>304</v>
      </c>
      <c r="B7" s="3">
        <f>'Crop Revenue (2022-2024)'!C53</f>
        <v>5.1121876234381984</v>
      </c>
      <c r="C7" s="3">
        <f>'Crop Revenue (2022-2024)'!D53</f>
        <v>14.570582117596025</v>
      </c>
      <c r="D7" s="3">
        <f>'Crop Revenue (2022-2024)'!E53</f>
        <v>5.6354514406845073</v>
      </c>
      <c r="E7" s="3">
        <f>'Crop Revenue (2022-2024)'!F53</f>
        <v>12.484790198300734</v>
      </c>
      <c r="F7" s="3">
        <f>'Crop Revenue (2022-2024)'!G53</f>
        <v>9.640886155117645</v>
      </c>
      <c r="G7" s="3">
        <f>'Crop Revenue (2022-2024)'!H53</f>
        <v>7.7430334090496267</v>
      </c>
      <c r="H7" s="3">
        <f>'Crop Revenue (2022-2024)'!I53</f>
        <v>13.389682513839464</v>
      </c>
      <c r="I7" s="3">
        <f>'Crop Revenue (2022-2024)'!J53</f>
        <v>7.4870003324791377</v>
      </c>
      <c r="J7" s="3">
        <f>'Crop Revenue (2022-2024)'!K53</f>
        <v>15.87174634352866</v>
      </c>
      <c r="K7" s="3">
        <f>'Crop Revenue (2022-2024)'!L53</f>
        <v>17.244563086455795</v>
      </c>
      <c r="L7" s="3">
        <f>'Crop Revenue (2022-2024)'!M53</f>
        <v>25.985105349104529</v>
      </c>
      <c r="M7" s="3">
        <f>'Crop Revenue (2022-2024)'!N53</f>
        <v>15.584778024374614</v>
      </c>
      <c r="N7" s="3">
        <f>'Crop Revenue (2022-2024)'!O53</f>
        <v>22.529080548687357</v>
      </c>
      <c r="O7" s="3">
        <f>'Crop Revenue (2022-2024)'!P53</f>
        <v>20.144845205398841</v>
      </c>
      <c r="P7" s="3">
        <f>'Crop Revenue (2022-2024)'!Q53</f>
        <v>21.594572765851414</v>
      </c>
      <c r="Q7" s="3">
        <f>'Crop Revenue (2022-2024)'!R53</f>
        <v>10.436715238397859</v>
      </c>
      <c r="R7" s="3">
        <f>'Crop Revenue (2022-2024)'!S53</f>
        <v>11.955910634034693</v>
      </c>
      <c r="S7" s="3">
        <f>'Crop Revenue (2022-2024)'!T53</f>
        <v>22.29752109807314</v>
      </c>
      <c r="T7" s="3">
        <f>'Crop Revenue (2022-2024)'!U53</f>
        <v>16.500264852338674</v>
      </c>
      <c r="U7" s="3">
        <f>'Crop Revenue (2022-2024)'!V53</f>
        <v>25.002631680069921</v>
      </c>
      <c r="V7" s="45">
        <f t="shared" ref="V7:V8" si="1">SUM(B7:U7)</f>
        <v>301.21134861682077</v>
      </c>
    </row>
    <row r="8" spans="1:41">
      <c r="A8" t="s">
        <v>305</v>
      </c>
      <c r="B8" s="3">
        <f>'Crop Revenue (2022-2024)'!C65</f>
        <v>0.15195129935717394</v>
      </c>
      <c r="C8" s="3">
        <f>'Crop Revenue (2022-2024)'!D65</f>
        <v>0.25056869893997558</v>
      </c>
      <c r="D8" s="3">
        <f>'Crop Revenue (2022-2024)'!E65</f>
        <v>0.2440277489676469</v>
      </c>
      <c r="E8" s="3">
        <f>'Crop Revenue (2022-2024)'!F65</f>
        <v>0.28528604879310476</v>
      </c>
      <c r="F8" s="3">
        <f>'Crop Revenue (2022-2024)'!G65</f>
        <v>0.31446874866964808</v>
      </c>
      <c r="G8" s="3">
        <f>'Crop Revenue (2022-2024)'!H65</f>
        <v>0.12830324945721641</v>
      </c>
      <c r="H8" s="3">
        <f>'Crop Revenue (2022-2024)'!I65</f>
        <v>0.27270729884631884</v>
      </c>
      <c r="I8" s="3">
        <f>'Crop Revenue (2022-2024)'!J65</f>
        <v>0.15295759935291681</v>
      </c>
      <c r="J8" s="3">
        <f>'Crop Revenue (2022-2024)'!K65</f>
        <v>0.53628283033067781</v>
      </c>
      <c r="K8" s="3">
        <f>'Crop Revenue (2022-2024)'!L65</f>
        <v>0.48660342324541311</v>
      </c>
      <c r="L8" s="3">
        <f>'Crop Revenue (2022-2024)'!M65</f>
        <v>0.74009578247535335</v>
      </c>
      <c r="M8" s="3">
        <f>'Crop Revenue (2022-2024)'!N65</f>
        <v>0.74136961342625762</v>
      </c>
      <c r="N8" s="3">
        <f>'Crop Revenue (2022-2024)'!O65</f>
        <v>0.6088911945322184</v>
      </c>
      <c r="O8" s="3">
        <f>'Crop Revenue (2022-2024)'!P65</f>
        <v>0.46367446612913704</v>
      </c>
      <c r="P8" s="3">
        <f>'Crop Revenue (2022-2024)'!Q65</f>
        <v>0.75028643008258711</v>
      </c>
      <c r="Q8" s="3">
        <f>'Crop Revenue (2022-2024)'!R65</f>
        <v>0.6139865183358354</v>
      </c>
      <c r="R8" s="3">
        <f>'Crop Revenue (2022-2024)'!S65</f>
        <v>1.0165170988215697</v>
      </c>
      <c r="S8" s="3">
        <f>'Crop Revenue (2022-2024)'!T65</f>
        <v>0.65602293971567471</v>
      </c>
      <c r="T8" s="3">
        <f>'Crop Revenue (2022-2024)'!U65</f>
        <v>0.73882195152444918</v>
      </c>
      <c r="U8" s="3">
        <f>'Crop Revenue (2022-2024)'!V65</f>
        <v>0.93499191796369951</v>
      </c>
      <c r="V8" s="45">
        <f t="shared" si="1"/>
        <v>10.087814858966876</v>
      </c>
      <c r="X8" s="4"/>
    </row>
    <row r="9" spans="1:41">
      <c r="A9" s="13" t="s">
        <v>157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51">
        <f>SUM(B9:U9)</f>
        <v>0</v>
      </c>
      <c r="X9" s="4"/>
    </row>
    <row r="10" spans="1:41">
      <c r="A10" s="37" t="s">
        <v>348</v>
      </c>
      <c r="B10" s="38">
        <f>SUM(B3:B5,B9)</f>
        <v>17.718954906582752</v>
      </c>
      <c r="C10" s="38">
        <f t="shared" ref="C10:U10" si="2">SUM(C3:C5,C9)</f>
        <v>25.447202738441121</v>
      </c>
      <c r="D10" s="38">
        <f t="shared" si="2"/>
        <v>18.223212727321666</v>
      </c>
      <c r="E10" s="38">
        <f t="shared" si="2"/>
        <v>24.701339222262487</v>
      </c>
      <c r="F10" s="38">
        <f t="shared" si="2"/>
        <v>17.612371323618163</v>
      </c>
      <c r="G10" s="38">
        <f t="shared" si="2"/>
        <v>17.484295425868822</v>
      </c>
      <c r="H10" s="38">
        <f t="shared" si="2"/>
        <v>19.720933026276434</v>
      </c>
      <c r="I10" s="38">
        <f t="shared" si="2"/>
        <v>22.016840252405476</v>
      </c>
      <c r="J10" s="38">
        <f t="shared" si="2"/>
        <v>27.399331695107655</v>
      </c>
      <c r="K10" s="38">
        <f t="shared" si="2"/>
        <v>25.537684419162517</v>
      </c>
      <c r="L10" s="38">
        <f t="shared" si="2"/>
        <v>43.840956583991925</v>
      </c>
      <c r="M10" s="38">
        <f t="shared" si="2"/>
        <v>31.07302488355349</v>
      </c>
      <c r="N10" s="38">
        <f t="shared" si="2"/>
        <v>36.19538353345758</v>
      </c>
      <c r="O10" s="38">
        <f t="shared" si="2"/>
        <v>23.625374474442765</v>
      </c>
      <c r="P10" s="38">
        <f t="shared" si="2"/>
        <v>31.15679128376873</v>
      </c>
      <c r="Q10" s="38">
        <f t="shared" si="2"/>
        <v>17.421545252183147</v>
      </c>
      <c r="R10" s="38">
        <f t="shared" si="2"/>
        <v>18.408428695570873</v>
      </c>
      <c r="S10" s="38">
        <f t="shared" si="2"/>
        <v>37.102920844986876</v>
      </c>
      <c r="T10" s="38">
        <f t="shared" si="2"/>
        <v>19.941095570015868</v>
      </c>
      <c r="U10" s="38">
        <f t="shared" si="2"/>
        <v>39.646022264439765</v>
      </c>
      <c r="V10" s="52">
        <f t="shared" si="0"/>
        <v>514.27370912345816</v>
      </c>
      <c r="X10" s="4"/>
    </row>
    <row r="11" spans="1:41">
      <c r="A11" s="39" t="s">
        <v>349</v>
      </c>
      <c r="B11" s="38">
        <f>SUM(B6:B9)</f>
        <v>30.122223341190683</v>
      </c>
      <c r="C11" s="38">
        <f t="shared" ref="C11:U11" si="3">SUM(C6:C9)</f>
        <v>43.260244655349908</v>
      </c>
      <c r="D11" s="38">
        <f t="shared" si="3"/>
        <v>30.979461636446842</v>
      </c>
      <c r="E11" s="38">
        <f t="shared" si="3"/>
        <v>41.992276677846235</v>
      </c>
      <c r="F11" s="38">
        <f t="shared" si="3"/>
        <v>29.941031250150882</v>
      </c>
      <c r="G11" s="38">
        <f t="shared" si="3"/>
        <v>29.723302223977001</v>
      </c>
      <c r="H11" s="38">
        <f t="shared" si="3"/>
        <v>33.525586144669944</v>
      </c>
      <c r="I11" s="38">
        <f t="shared" si="3"/>
        <v>37.428628429089315</v>
      </c>
      <c r="J11" s="38">
        <f t="shared" si="3"/>
        <v>49.318797051193783</v>
      </c>
      <c r="K11" s="38">
        <f t="shared" si="3"/>
        <v>45.967831954492539</v>
      </c>
      <c r="L11" s="38">
        <f t="shared" si="3"/>
        <v>78.913721851185471</v>
      </c>
      <c r="M11" s="38">
        <f t="shared" si="3"/>
        <v>55.931444790396284</v>
      </c>
      <c r="N11" s="38">
        <f t="shared" si="3"/>
        <v>65.151690360223654</v>
      </c>
      <c r="O11" s="38">
        <f t="shared" si="3"/>
        <v>42.52567405399698</v>
      </c>
      <c r="P11" s="38">
        <f t="shared" si="3"/>
        <v>56.082224310783708</v>
      </c>
      <c r="Q11" s="38">
        <f t="shared" si="3"/>
        <v>31.358781453929662</v>
      </c>
      <c r="R11" s="38">
        <f t="shared" si="3"/>
        <v>33.135171652027566</v>
      </c>
      <c r="S11" s="38">
        <f t="shared" si="3"/>
        <v>66.785257520976373</v>
      </c>
      <c r="T11" s="38">
        <f t="shared" si="3"/>
        <v>35.893972026028571</v>
      </c>
      <c r="U11" s="38">
        <f t="shared" si="3"/>
        <v>71.362840075991585</v>
      </c>
      <c r="V11" s="52">
        <f t="shared" si="0"/>
        <v>909.40016145994696</v>
      </c>
      <c r="X11" s="4"/>
    </row>
    <row r="12" spans="1:41">
      <c r="A12" s="39" t="s">
        <v>350</v>
      </c>
      <c r="B12" s="38">
        <f>(2/3)*B10</f>
        <v>11.812636604388501</v>
      </c>
      <c r="C12" s="38">
        <f t="shared" ref="C12:U12" si="4">(2/3)*C10</f>
        <v>16.964801825627411</v>
      </c>
      <c r="D12" s="38">
        <f t="shared" si="4"/>
        <v>12.14880848488111</v>
      </c>
      <c r="E12" s="38">
        <f t="shared" si="4"/>
        <v>16.467559481508324</v>
      </c>
      <c r="F12" s="38">
        <f t="shared" si="4"/>
        <v>11.741580882412109</v>
      </c>
      <c r="G12" s="38">
        <f t="shared" si="4"/>
        <v>11.656196950579215</v>
      </c>
      <c r="H12" s="38">
        <f t="shared" si="4"/>
        <v>13.147288684184289</v>
      </c>
      <c r="I12" s="38">
        <f t="shared" si="4"/>
        <v>14.67789350160365</v>
      </c>
      <c r="J12" s="38">
        <f t="shared" si="4"/>
        <v>18.26622113007177</v>
      </c>
      <c r="K12" s="38">
        <f t="shared" si="4"/>
        <v>17.025122946108343</v>
      </c>
      <c r="L12" s="38">
        <f t="shared" si="4"/>
        <v>29.227304389327948</v>
      </c>
      <c r="M12" s="38">
        <f t="shared" si="4"/>
        <v>20.715349922368993</v>
      </c>
      <c r="N12" s="38">
        <f t="shared" si="4"/>
        <v>24.130255688971719</v>
      </c>
      <c r="O12" s="38">
        <f t="shared" si="4"/>
        <v>15.750249649628509</v>
      </c>
      <c r="P12" s="38">
        <f t="shared" si="4"/>
        <v>20.771194189179152</v>
      </c>
      <c r="Q12" s="38">
        <f t="shared" si="4"/>
        <v>11.614363501455431</v>
      </c>
      <c r="R12" s="38">
        <f t="shared" si="4"/>
        <v>12.272285797047248</v>
      </c>
      <c r="S12" s="38">
        <f t="shared" si="4"/>
        <v>24.735280563324583</v>
      </c>
      <c r="T12" s="38">
        <f t="shared" si="4"/>
        <v>13.294063713343911</v>
      </c>
      <c r="U12" s="38">
        <f t="shared" si="4"/>
        <v>26.43068150962651</v>
      </c>
      <c r="V12" s="52">
        <f t="shared" si="0"/>
        <v>342.84913941563866</v>
      </c>
      <c r="X12" s="4"/>
    </row>
    <row r="13" spans="1:41">
      <c r="A13" s="37" t="s">
        <v>351</v>
      </c>
      <c r="B13" s="38">
        <f>0.8*B11</f>
        <v>24.097778672952547</v>
      </c>
      <c r="C13" s="38">
        <f t="shared" ref="C13:U13" si="5">0.8*C11</f>
        <v>34.608195724279931</v>
      </c>
      <c r="D13" s="38">
        <f t="shared" si="5"/>
        <v>24.783569309157475</v>
      </c>
      <c r="E13" s="38">
        <f t="shared" si="5"/>
        <v>33.593821342276989</v>
      </c>
      <c r="F13" s="38">
        <f t="shared" si="5"/>
        <v>23.952825000120708</v>
      </c>
      <c r="G13" s="38">
        <f t="shared" si="5"/>
        <v>23.778641779181601</v>
      </c>
      <c r="H13" s="38">
        <f t="shared" si="5"/>
        <v>26.820468915735958</v>
      </c>
      <c r="I13" s="38">
        <f t="shared" si="5"/>
        <v>29.942902743271453</v>
      </c>
      <c r="J13" s="38">
        <f t="shared" si="5"/>
        <v>39.455037640955027</v>
      </c>
      <c r="K13" s="38">
        <f t="shared" si="5"/>
        <v>36.774265563594035</v>
      </c>
      <c r="L13" s="38">
        <f t="shared" si="5"/>
        <v>63.130977480948381</v>
      </c>
      <c r="M13" s="38">
        <f t="shared" si="5"/>
        <v>44.745155832317032</v>
      </c>
      <c r="N13" s="38">
        <f t="shared" si="5"/>
        <v>52.121352288178926</v>
      </c>
      <c r="O13" s="38">
        <f t="shared" si="5"/>
        <v>34.020539243197582</v>
      </c>
      <c r="P13" s="38">
        <f t="shared" si="5"/>
        <v>44.865779448626967</v>
      </c>
      <c r="Q13" s="38">
        <f t="shared" si="5"/>
        <v>25.087025163143732</v>
      </c>
      <c r="R13" s="38">
        <f t="shared" si="5"/>
        <v>26.508137321622055</v>
      </c>
      <c r="S13" s="38">
        <f t="shared" si="5"/>
        <v>53.428206016781104</v>
      </c>
      <c r="T13" s="38">
        <f t="shared" si="5"/>
        <v>28.715177620822857</v>
      </c>
      <c r="U13" s="38">
        <f t="shared" si="5"/>
        <v>57.090272060793268</v>
      </c>
      <c r="V13" s="52">
        <f t="shared" si="0"/>
        <v>727.52012916795752</v>
      </c>
      <c r="X13" s="4"/>
    </row>
    <row r="15" spans="1:41">
      <c r="A15" s="35" t="s">
        <v>156</v>
      </c>
      <c r="B15" s="71">
        <f>AVERAGE(B10:E10)</f>
        <v>21.522677398652007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41"/>
    </row>
    <row r="16" spans="1:41">
      <c r="A16" s="5" t="s">
        <v>161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43"/>
    </row>
    <row r="17" spans="1:36">
      <c r="A17" t="s">
        <v>291</v>
      </c>
      <c r="B17" s="24">
        <f>'Land Prep Costs (2022-2024)'!$I$10</f>
        <v>1.2458333333333333</v>
      </c>
      <c r="C17" s="24">
        <f>'Land Prep Costs (2022-2024)'!$I$10</f>
        <v>1.2458333333333333</v>
      </c>
      <c r="D17" s="24">
        <f>'Land Prep Costs (2022-2024)'!$I$10</f>
        <v>1.2458333333333333</v>
      </c>
      <c r="E17" s="24">
        <f>'Land Prep Costs (2022-2024)'!$I$10</f>
        <v>1.2458333333333333</v>
      </c>
      <c r="F17" s="24">
        <f>'Land Prep Costs (2022-2024)'!$I$10</f>
        <v>1.2458333333333333</v>
      </c>
      <c r="G17" s="24">
        <f>'Land Prep Costs (2022-2024)'!$I$10</f>
        <v>1.2458333333333333</v>
      </c>
      <c r="H17" s="24">
        <f>'Land Prep Costs (2022-2024)'!$I$10</f>
        <v>1.2458333333333333</v>
      </c>
      <c r="I17" s="24">
        <f>'Land Prep Costs (2022-2024)'!$I$10</f>
        <v>1.2458333333333333</v>
      </c>
      <c r="J17" s="24">
        <f>'Land Prep Costs (2022-2024)'!$I$10</f>
        <v>1.2458333333333333</v>
      </c>
      <c r="K17" s="24">
        <f>'Land Prep Costs (2022-2024)'!$I$10</f>
        <v>1.2458333333333333</v>
      </c>
      <c r="L17" s="24">
        <f>'Land Prep Costs (2022-2024)'!$I$10</f>
        <v>1.2458333333333333</v>
      </c>
      <c r="M17" s="24">
        <f>'Land Prep Costs (2022-2024)'!$I$10</f>
        <v>1.2458333333333333</v>
      </c>
      <c r="N17" s="24">
        <f>'Land Prep Costs (2022-2024)'!$I$10</f>
        <v>1.2458333333333333</v>
      </c>
      <c r="O17" s="24">
        <f>'Land Prep Costs (2022-2024)'!$I$10</f>
        <v>1.2458333333333333</v>
      </c>
      <c r="P17" s="24">
        <f>'Land Prep Costs (2022-2024)'!$I$10</f>
        <v>1.2458333333333333</v>
      </c>
      <c r="Q17" s="24">
        <f>'Land Prep Costs (2022-2024)'!$I$10</f>
        <v>1.2458333333333333</v>
      </c>
      <c r="R17" s="24">
        <f>'Land Prep Costs (2022-2024)'!$I$10</f>
        <v>1.2458333333333333</v>
      </c>
      <c r="S17" s="24">
        <f>'Land Prep Costs (2022-2024)'!$I$10</f>
        <v>1.2458333333333333</v>
      </c>
      <c r="T17" s="24">
        <f>'Land Prep Costs (2022-2024)'!$I$10</f>
        <v>1.2458333333333333</v>
      </c>
      <c r="U17" s="24">
        <f>'Land Prep Costs (2022-2024)'!$I$10</f>
        <v>1.2458333333333333</v>
      </c>
      <c r="V17" s="44">
        <f>SUM(B17:U17)</f>
        <v>24.916666666666668</v>
      </c>
      <c r="X17" t="s">
        <v>235</v>
      </c>
    </row>
    <row r="18" spans="1:36">
      <c r="A18" t="s">
        <v>292</v>
      </c>
      <c r="B18" s="4">
        <f>'Land Prep Costs (2022-2024)'!$I$29</f>
        <v>7.107708333333334</v>
      </c>
      <c r="C18" s="4">
        <f>'Land Prep Costs (2022-2024)'!$I$29</f>
        <v>7.107708333333334</v>
      </c>
      <c r="D18" s="4">
        <f>'Land Prep Costs (2022-2024)'!$I$29</f>
        <v>7.107708333333334</v>
      </c>
      <c r="E18" s="4">
        <f>'Land Prep Costs (2022-2024)'!$I$29</f>
        <v>7.107708333333334</v>
      </c>
      <c r="F18" s="4">
        <f>'Land Prep Costs (2022-2024)'!$I$29</f>
        <v>7.107708333333334</v>
      </c>
      <c r="G18" s="4">
        <f>'Land Prep Costs (2022-2024)'!$I$29</f>
        <v>7.107708333333334</v>
      </c>
      <c r="H18" s="4">
        <f>'Land Prep Costs (2022-2024)'!$I$29</f>
        <v>7.107708333333334</v>
      </c>
      <c r="I18" s="4">
        <f>'Land Prep Costs (2022-2024)'!$I$29</f>
        <v>7.107708333333334</v>
      </c>
      <c r="J18" s="4">
        <f>'Land Prep Costs (2022-2024)'!$I$30</f>
        <v>8.4118750000000002</v>
      </c>
      <c r="K18" s="4">
        <f>'Land Prep Costs (2022-2024)'!$I$30</f>
        <v>8.4118750000000002</v>
      </c>
      <c r="L18" s="4">
        <f>'Land Prep Costs (2022-2024)'!$I$30</f>
        <v>8.4118750000000002</v>
      </c>
      <c r="M18" s="4">
        <f>'Land Prep Costs (2022-2024)'!$I$30</f>
        <v>8.4118750000000002</v>
      </c>
      <c r="N18" s="4">
        <f>'Land Prep Costs (2022-2024)'!$I$30</f>
        <v>8.4118750000000002</v>
      </c>
      <c r="O18" s="4">
        <f>'Land Prep Costs (2022-2024)'!$I$30</f>
        <v>8.4118750000000002</v>
      </c>
      <c r="P18" s="4">
        <f>'Land Prep Costs (2022-2024)'!$I$30</f>
        <v>8.4118750000000002</v>
      </c>
      <c r="Q18" s="4">
        <f>'Land Prep Costs (2022-2024)'!$I$30</f>
        <v>8.4118750000000002</v>
      </c>
      <c r="R18" s="4">
        <f>'Land Prep Costs (2022-2024)'!$I$30</f>
        <v>8.4118750000000002</v>
      </c>
      <c r="S18" s="4">
        <f>'Land Prep Costs (2022-2024)'!$I$30</f>
        <v>8.4118750000000002</v>
      </c>
      <c r="T18" s="4">
        <f>'Land Prep Costs (2022-2024)'!$I$30</f>
        <v>8.4118750000000002</v>
      </c>
      <c r="U18" s="4">
        <f>'Land Prep Costs (2022-2024)'!$I$30</f>
        <v>8.4118750000000002</v>
      </c>
      <c r="V18" s="42">
        <f t="shared" ref="V18:V19" si="6">SUM(B18:U18)</f>
        <v>157.80416666666667</v>
      </c>
      <c r="W18" s="4"/>
      <c r="X18" t="s">
        <v>236</v>
      </c>
    </row>
    <row r="19" spans="1:36">
      <c r="A19" t="s">
        <v>240</v>
      </c>
      <c r="B19" s="4">
        <f>'Costs (2022-2024)'!$I$16</f>
        <v>1</v>
      </c>
      <c r="C19" s="4">
        <f>'Costs (2022-2024)'!$I$16</f>
        <v>1</v>
      </c>
      <c r="D19" s="4">
        <f>'Costs (2022-2024)'!$I$16</f>
        <v>1</v>
      </c>
      <c r="E19" s="4">
        <f>'Costs (2022-2024)'!$I$16</f>
        <v>1</v>
      </c>
      <c r="F19" s="4">
        <f>'Costs (2022-2024)'!$I$16</f>
        <v>1</v>
      </c>
      <c r="G19" s="4">
        <f>'Costs (2022-2024)'!$I$16</f>
        <v>1</v>
      </c>
      <c r="H19" s="4">
        <f>'Costs (2022-2024)'!$I$16</f>
        <v>1</v>
      </c>
      <c r="I19" s="4">
        <f>'Costs (2022-2024)'!$I$16</f>
        <v>1</v>
      </c>
      <c r="J19" s="4">
        <f>'Costs (2022-2024)'!$I$16</f>
        <v>1</v>
      </c>
      <c r="K19" s="4">
        <f>'Costs (2022-2024)'!$I$16</f>
        <v>1</v>
      </c>
      <c r="L19" s="4">
        <f>'Costs (2022-2024)'!$I$16</f>
        <v>1</v>
      </c>
      <c r="M19" s="4">
        <f>'Costs (2022-2024)'!$I$16</f>
        <v>1</v>
      </c>
      <c r="N19" s="4">
        <f>'Costs (2022-2024)'!$I$16</f>
        <v>1</v>
      </c>
      <c r="O19" s="4">
        <f>'Costs (2022-2024)'!$I$16</f>
        <v>1</v>
      </c>
      <c r="P19" s="4">
        <f>'Costs (2022-2024)'!$I$16</f>
        <v>1</v>
      </c>
      <c r="Q19" s="4">
        <f>'Costs (2022-2024)'!$I$16</f>
        <v>1</v>
      </c>
      <c r="R19" s="4">
        <f>'Costs (2022-2024)'!$I$16</f>
        <v>1</v>
      </c>
      <c r="S19" s="4">
        <f>'Costs (2022-2024)'!$I$16</f>
        <v>1</v>
      </c>
      <c r="T19" s="4">
        <f>'Costs (2022-2024)'!$I$16</f>
        <v>1</v>
      </c>
      <c r="U19" s="4">
        <f>'Costs (2022-2024)'!$I$16</f>
        <v>1</v>
      </c>
      <c r="V19" s="42">
        <f t="shared" si="6"/>
        <v>20</v>
      </c>
      <c r="X19" t="s">
        <v>237</v>
      </c>
    </row>
    <row r="20" spans="1:36">
      <c r="A20" s="5" t="s">
        <v>162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43"/>
      <c r="X20" t="s">
        <v>238</v>
      </c>
    </row>
    <row r="21" spans="1:36">
      <c r="A21" t="s">
        <v>8</v>
      </c>
      <c r="B21" s="3">
        <f>'Costs (2022-2024)'!$I$9</f>
        <v>1.67875</v>
      </c>
      <c r="C21" s="3">
        <f>'Costs (2022-2024)'!$I$9</f>
        <v>1.67875</v>
      </c>
      <c r="D21" s="3">
        <f>'Costs (2022-2024)'!$I$9</f>
        <v>1.67875</v>
      </c>
      <c r="E21" s="3">
        <f>'Costs (2022-2024)'!$I$9</f>
        <v>1.67875</v>
      </c>
      <c r="F21" s="3">
        <f>'Costs (2022-2024)'!$I$9</f>
        <v>1.67875</v>
      </c>
      <c r="G21" s="3">
        <f>'Costs (2022-2024)'!$I$9</f>
        <v>1.67875</v>
      </c>
      <c r="H21" s="3">
        <f>'Costs (2022-2024)'!$I$9</f>
        <v>1.67875</v>
      </c>
      <c r="I21" s="3">
        <f>'Costs (2022-2024)'!$I$9</f>
        <v>1.67875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45">
        <f>SUM(B21:U21)</f>
        <v>13.430000000000003</v>
      </c>
      <c r="X21" t="s">
        <v>239</v>
      </c>
    </row>
    <row r="22" spans="1:36">
      <c r="A22" t="s">
        <v>11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f>243/12</f>
        <v>20.25</v>
      </c>
      <c r="K22" s="3">
        <f t="shared" ref="K22:U22" si="7">243/12</f>
        <v>20.25</v>
      </c>
      <c r="L22" s="3">
        <f t="shared" si="7"/>
        <v>20.25</v>
      </c>
      <c r="M22" s="3">
        <f t="shared" si="7"/>
        <v>20.25</v>
      </c>
      <c r="N22" s="3">
        <f t="shared" si="7"/>
        <v>20.25</v>
      </c>
      <c r="O22" s="3">
        <f t="shared" si="7"/>
        <v>20.25</v>
      </c>
      <c r="P22" s="3">
        <f t="shared" si="7"/>
        <v>20.25</v>
      </c>
      <c r="Q22" s="3">
        <f t="shared" si="7"/>
        <v>20.25</v>
      </c>
      <c r="R22" s="3">
        <f t="shared" si="7"/>
        <v>20.25</v>
      </c>
      <c r="S22" s="3">
        <f t="shared" si="7"/>
        <v>20.25</v>
      </c>
      <c r="T22" s="3">
        <f t="shared" si="7"/>
        <v>20.25</v>
      </c>
      <c r="U22" s="3">
        <f t="shared" si="7"/>
        <v>20.25</v>
      </c>
      <c r="V22" s="45">
        <f>SUM(B22:U22)</f>
        <v>243</v>
      </c>
    </row>
    <row r="23" spans="1:36">
      <c r="A23" s="5" t="s">
        <v>163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43"/>
    </row>
    <row r="24" spans="1:36">
      <c r="A24" t="s">
        <v>160</v>
      </c>
      <c r="B24" s="3">
        <v>0</v>
      </c>
      <c r="C24" s="3">
        <v>0</v>
      </c>
      <c r="D24" s="3">
        <v>0</v>
      </c>
      <c r="E24" s="3">
        <v>0</v>
      </c>
      <c r="F24" s="3">
        <f>'Costs (2022-2024)'!$I$6</f>
        <v>2.8849999999999998</v>
      </c>
      <c r="G24" s="3">
        <f>'Costs (2022-2024)'!$I$6</f>
        <v>2.8849999999999998</v>
      </c>
      <c r="H24" s="3">
        <f>'Costs (2022-2024)'!$I$6</f>
        <v>2.8849999999999998</v>
      </c>
      <c r="I24" s="3">
        <f>'Costs (2022-2024)'!$I$6</f>
        <v>2.8849999999999998</v>
      </c>
      <c r="J24" s="3">
        <f>'Costs (2022-2024)'!$I$6</f>
        <v>2.8849999999999998</v>
      </c>
      <c r="K24" s="3">
        <f>'Costs (2022-2024)'!$I$6</f>
        <v>2.8849999999999998</v>
      </c>
      <c r="L24" s="3">
        <f>'Costs (2022-2024)'!$I$6</f>
        <v>2.8849999999999998</v>
      </c>
      <c r="M24" s="3">
        <f>'Costs (2022-2024)'!$I$6</f>
        <v>2.8849999999999998</v>
      </c>
      <c r="N24" s="3">
        <f>'Costs (2022-2024)'!$I$6</f>
        <v>2.8849999999999998</v>
      </c>
      <c r="O24" s="3">
        <f>'Costs (2022-2024)'!$I$6</f>
        <v>2.8849999999999998</v>
      </c>
      <c r="P24" s="3">
        <f>'Costs (2022-2024)'!$I$6</f>
        <v>2.8849999999999998</v>
      </c>
      <c r="Q24" s="3">
        <f>'Costs (2022-2024)'!$I$6</f>
        <v>2.8849999999999998</v>
      </c>
      <c r="R24" s="3">
        <f>'Costs (2022-2024)'!$I$6</f>
        <v>2.8849999999999998</v>
      </c>
      <c r="S24" s="3">
        <f>'Costs (2022-2024)'!$I$6</f>
        <v>2.8849999999999998</v>
      </c>
      <c r="T24" s="3">
        <f>'Costs (2022-2024)'!$I$6</f>
        <v>2.8849999999999998</v>
      </c>
      <c r="U24" s="3">
        <f>'Costs (2022-2024)'!$I$6</f>
        <v>2.8849999999999998</v>
      </c>
      <c r="V24" s="45">
        <f>SUM(B24:U24)</f>
        <v>46.159999999999982</v>
      </c>
    </row>
    <row r="25" spans="1:36">
      <c r="A25" s="5" t="s">
        <v>164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46"/>
    </row>
    <row r="26" spans="1:36">
      <c r="A26" t="s">
        <v>186</v>
      </c>
      <c r="B26" s="4">
        <f>'Labour Costs (2022-2024)'!C4</f>
        <v>0</v>
      </c>
      <c r="C26" s="4">
        <f>'Labour Costs (2022-2024)'!D4</f>
        <v>0</v>
      </c>
      <c r="D26" s="4">
        <f>'Labour Costs (2022-2024)'!E4</f>
        <v>0</v>
      </c>
      <c r="E26" s="4">
        <f>'Labour Costs (2022-2024)'!F4</f>
        <v>0</v>
      </c>
      <c r="F26" s="4">
        <f>'Labour Costs (2022-2024)'!G4</f>
        <v>0.39125000000000004</v>
      </c>
      <c r="G26" s="4">
        <f>'Labour Costs (2022-2024)'!H4</f>
        <v>0.39125000000000004</v>
      </c>
      <c r="H26" s="4">
        <f>'Labour Costs (2022-2024)'!I4</f>
        <v>0.39125000000000004</v>
      </c>
      <c r="I26" s="4">
        <f>'Labour Costs (2022-2024)'!J4</f>
        <v>0.39125000000000004</v>
      </c>
      <c r="J26" s="4">
        <f>'Labour Costs (2022-2024)'!K4</f>
        <v>0.39125000000000004</v>
      </c>
      <c r="K26" s="4">
        <f>'Labour Costs (2022-2024)'!L4</f>
        <v>0.39125000000000004</v>
      </c>
      <c r="L26" s="4">
        <f>'Labour Costs (2022-2024)'!M4</f>
        <v>0.39125000000000004</v>
      </c>
      <c r="M26" s="4">
        <f>'Labour Costs (2022-2024)'!N4</f>
        <v>0.39125000000000004</v>
      </c>
      <c r="N26" s="4">
        <f>'Labour Costs (2022-2024)'!O4</f>
        <v>0.39125000000000004</v>
      </c>
      <c r="O26" s="4">
        <f>'Labour Costs (2022-2024)'!P4</f>
        <v>0.39125000000000004</v>
      </c>
      <c r="P26" s="4">
        <f>'Labour Costs (2022-2024)'!Q4</f>
        <v>0.39125000000000004</v>
      </c>
      <c r="Q26" s="4">
        <f>'Labour Costs (2022-2024)'!R4</f>
        <v>0.39125000000000004</v>
      </c>
      <c r="R26" s="4">
        <f>'Labour Costs (2022-2024)'!S4</f>
        <v>0.39125000000000004</v>
      </c>
      <c r="S26" s="4">
        <f>'Labour Costs (2022-2024)'!T4</f>
        <v>0.39125000000000004</v>
      </c>
      <c r="T26" s="4">
        <f>'Labour Costs (2022-2024)'!U4</f>
        <v>0.39125000000000004</v>
      </c>
      <c r="U26" s="4">
        <f>'Labour Costs (2022-2024)'!V4</f>
        <v>0.39125000000000004</v>
      </c>
      <c r="V26" s="42">
        <f>SUM(B26:U26)</f>
        <v>6.2600000000000016</v>
      </c>
    </row>
    <row r="27" spans="1:36">
      <c r="A27" s="5" t="s">
        <v>148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43"/>
    </row>
    <row r="28" spans="1:36">
      <c r="A28" t="s">
        <v>230</v>
      </c>
      <c r="B28" s="3">
        <f>'Labour Costs (2022-2024)'!C11</f>
        <v>11.998333333333335</v>
      </c>
      <c r="C28" s="3">
        <f>'Labour Costs (2022-2024)'!D11</f>
        <v>10.172500000000001</v>
      </c>
      <c r="D28" s="3">
        <f>'Labour Costs (2022-2024)'!E11</f>
        <v>13.041666666666668</v>
      </c>
      <c r="E28" s="3">
        <f>'Labour Costs (2022-2024)'!F11</f>
        <v>18.519166666666667</v>
      </c>
      <c r="F28" s="3">
        <f>'Labour Costs (2022-2024)'!G11</f>
        <v>11.998333333333335</v>
      </c>
      <c r="G28" s="3">
        <f>'Labour Costs (2022-2024)'!H11</f>
        <v>18.258333333333336</v>
      </c>
      <c r="H28" s="3">
        <f>'Labour Costs (2022-2024)'!I11</f>
        <v>16.954166666666669</v>
      </c>
      <c r="I28" s="3">
        <f>'Labour Costs (2022-2024)'!J11</f>
        <v>11.737500000000001</v>
      </c>
      <c r="J28" s="3">
        <f>'Labour Costs (2022-2024)'!K11</f>
        <v>17.736666666666668</v>
      </c>
      <c r="K28" s="3">
        <f>'Labour Costs (2022-2024)'!L11</f>
        <v>21.127500000000001</v>
      </c>
      <c r="L28" s="3">
        <f>'Labour Costs (2022-2024)'!M11</f>
        <v>9.39</v>
      </c>
      <c r="M28" s="3">
        <f>'Labour Costs (2022-2024)'!N11</f>
        <v>19.562500000000004</v>
      </c>
      <c r="N28" s="3">
        <f>'Labour Costs (2022-2024)'!O11</f>
        <v>10.955000000000002</v>
      </c>
      <c r="O28" s="3">
        <f>'Labour Costs (2022-2024)'!P11</f>
        <v>26.865833333333335</v>
      </c>
      <c r="P28" s="3">
        <f>'Labour Costs (2022-2024)'!Q11</f>
        <v>7.8250000000000011</v>
      </c>
      <c r="Q28" s="3">
        <f>'Labour Costs (2022-2024)'!R11</f>
        <v>34.430000000000007</v>
      </c>
      <c r="R28" s="3">
        <f>'Labour Costs (2022-2024)'!S11</f>
        <v>21.127500000000001</v>
      </c>
      <c r="S28" s="3">
        <f>'Labour Costs (2022-2024)'!T11</f>
        <v>9.1291666666666682</v>
      </c>
      <c r="T28" s="3">
        <f>'Labour Costs (2022-2024)'!U11</f>
        <v>27.648333333333337</v>
      </c>
      <c r="U28" s="3">
        <f>'Labour Costs (2022-2024)'!V11</f>
        <v>8.8683333333333341</v>
      </c>
      <c r="V28" s="45">
        <f>SUM(B28:U28)</f>
        <v>327.3458333333333</v>
      </c>
    </row>
    <row r="29" spans="1:36">
      <c r="A29" s="5" t="s">
        <v>147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46"/>
    </row>
    <row r="30" spans="1:36">
      <c r="A30" t="s">
        <v>203</v>
      </c>
      <c r="B30" s="3">
        <f>'Labour Costs (2022-2024)'!C20</f>
        <v>4.9558333333333335</v>
      </c>
      <c r="C30" s="3">
        <f>'Labour Costs (2022-2024)'!D20</f>
        <v>5.4775000000000009</v>
      </c>
      <c r="D30" s="3">
        <f>'Labour Costs (2022-2024)'!E20</f>
        <v>4.6950000000000003</v>
      </c>
      <c r="E30" s="3">
        <f>'Labour Costs (2022-2024)'!F20</f>
        <v>5.4775000000000009</v>
      </c>
      <c r="F30" s="3">
        <f>'Labour Costs (2022-2024)'!G20</f>
        <v>3.9125000000000005</v>
      </c>
      <c r="G30" s="3">
        <f>'Labour Costs (2022-2024)'!H20</f>
        <v>4.434166666666667</v>
      </c>
      <c r="H30" s="3">
        <f>'Labour Costs (2022-2024)'!I20</f>
        <v>4.1733333333333338</v>
      </c>
      <c r="I30" s="3">
        <f>'Labour Costs (2022-2024)'!J20</f>
        <v>6.2600000000000007</v>
      </c>
      <c r="J30" s="3">
        <f>'Labour Costs (2022-2024)'!K20</f>
        <v>3.9125000000000005</v>
      </c>
      <c r="K30" s="3">
        <f>'Labour Costs (2022-2024)'!L20</f>
        <v>3.3908333333333336</v>
      </c>
      <c r="L30" s="3">
        <f>'Labour Costs (2022-2024)'!M20</f>
        <v>6.2600000000000007</v>
      </c>
      <c r="M30" s="3">
        <f>'Labour Costs (2022-2024)'!N20</f>
        <v>4.1733333333333338</v>
      </c>
      <c r="N30" s="3">
        <f>'Labour Costs (2022-2024)'!O20</f>
        <v>4.9558333333333335</v>
      </c>
      <c r="O30" s="3">
        <f>'Labour Costs (2022-2024)'!P20</f>
        <v>2.6083333333333334</v>
      </c>
      <c r="P30" s="3">
        <f>'Labour Costs (2022-2024)'!Q20</f>
        <v>3.9125000000000005</v>
      </c>
      <c r="Q30" s="3">
        <f>'Labour Costs (2022-2024)'!R20</f>
        <v>2.3475000000000001</v>
      </c>
      <c r="R30" s="3">
        <f>'Labour Costs (2022-2024)'!S20</f>
        <v>2.3475000000000001</v>
      </c>
      <c r="S30" s="3">
        <f>'Labour Costs (2022-2024)'!T20</f>
        <v>4.9558333333333335</v>
      </c>
      <c r="T30" s="3">
        <f>'Labour Costs (2022-2024)'!U20</f>
        <v>2.0866666666666669</v>
      </c>
      <c r="U30" s="3">
        <f>'Labour Costs (2022-2024)'!V20</f>
        <v>5.2166666666666668</v>
      </c>
      <c r="V30" s="45">
        <f>SUM(B30:U30)</f>
        <v>85.553333333333327</v>
      </c>
      <c r="AJ30" s="4">
        <f>'Crop Prices (2022-2024)'!I15/'Crop Prices (2022-2024)'!D15</f>
        <v>3.2700000000000005</v>
      </c>
    </row>
    <row r="31" spans="1:36">
      <c r="A31" t="s">
        <v>204</v>
      </c>
      <c r="B31" s="3">
        <f>'Labour Costs (2022-2024)'!C21</f>
        <v>1.0433333333333334</v>
      </c>
      <c r="C31" s="3">
        <f>'Labour Costs (2022-2024)'!D21</f>
        <v>4.434166666666667</v>
      </c>
      <c r="D31" s="3">
        <f>'Labour Costs (2022-2024)'!E21</f>
        <v>3.3908333333333336</v>
      </c>
      <c r="E31" s="3">
        <f>'Labour Costs (2022-2024)'!F21</f>
        <v>3.6516666666666673</v>
      </c>
      <c r="F31" s="3">
        <f>'Labour Costs (2022-2024)'!G21</f>
        <v>2.3475000000000001</v>
      </c>
      <c r="G31" s="3">
        <f>'Labour Costs (2022-2024)'!H21</f>
        <v>2.0866666666666669</v>
      </c>
      <c r="H31" s="3">
        <f>'Labour Costs (2022-2024)'!I21</f>
        <v>2.6083333333333334</v>
      </c>
      <c r="I31" s="3">
        <f>'Labour Costs (2022-2024)'!J21</f>
        <v>1.8258333333333336</v>
      </c>
      <c r="J31" s="3">
        <f>'Labour Costs (2022-2024)'!K21</f>
        <v>1.3041666666666667</v>
      </c>
      <c r="K31" s="3">
        <f>'Labour Costs (2022-2024)'!L21</f>
        <v>1.3041666666666667</v>
      </c>
      <c r="L31" s="3">
        <f>'Labour Costs (2022-2024)'!M21</f>
        <v>1.8258333333333336</v>
      </c>
      <c r="M31" s="3">
        <f>'Labour Costs (2022-2024)'!N21</f>
        <v>1.0433333333333334</v>
      </c>
      <c r="N31" s="3">
        <f>'Labour Costs (2022-2024)'!O21</f>
        <v>1.3041666666666667</v>
      </c>
      <c r="O31" s="3">
        <f>'Labour Costs (2022-2024)'!P21</f>
        <v>1.5650000000000002</v>
      </c>
      <c r="P31" s="3">
        <f>'Labour Costs (2022-2024)'!Q21</f>
        <v>1.0433333333333334</v>
      </c>
      <c r="Q31" s="3">
        <f>'Labour Costs (2022-2024)'!R21</f>
        <v>1.0433333333333334</v>
      </c>
      <c r="R31" s="3">
        <f>'Labour Costs (2022-2024)'!S21</f>
        <v>1.5650000000000002</v>
      </c>
      <c r="S31" s="3">
        <f>'Labour Costs (2022-2024)'!T21</f>
        <v>1.3041666666666667</v>
      </c>
      <c r="T31" s="3">
        <f>'Labour Costs (2022-2024)'!U21</f>
        <v>1.3041666666666667</v>
      </c>
      <c r="U31" s="3">
        <f>'Labour Costs (2022-2024)'!V21</f>
        <v>1.3041666666666667</v>
      </c>
      <c r="V31" s="45">
        <f t="shared" ref="V31:V32" si="8">SUM(B31:U31)</f>
        <v>37.299166666666672</v>
      </c>
    </row>
    <row r="32" spans="1:36">
      <c r="A32" t="s">
        <v>205</v>
      </c>
      <c r="B32" s="3">
        <f>'Labour Costs (2022-2024)'!C22</f>
        <v>0.45645833333333341</v>
      </c>
      <c r="C32" s="3">
        <f>'Labour Costs (2022-2024)'!D22</f>
        <v>0.52166666666666672</v>
      </c>
      <c r="D32" s="3">
        <f>'Labour Costs (2022-2024)'!E22</f>
        <v>0.39125000000000004</v>
      </c>
      <c r="E32" s="3">
        <f>'Labour Costs (2022-2024)'!F22</f>
        <v>0.45645833333333341</v>
      </c>
      <c r="F32" s="3">
        <f>'Labour Costs (2022-2024)'!G22</f>
        <v>0.39125000000000004</v>
      </c>
      <c r="G32" s="3">
        <f>'Labour Costs (2022-2024)'!H22</f>
        <v>0.45645833333333341</v>
      </c>
      <c r="H32" s="3">
        <f>'Labour Costs (2022-2024)'!I22</f>
        <v>0.32604166666666667</v>
      </c>
      <c r="I32" s="3">
        <f>'Labour Costs (2022-2024)'!J22</f>
        <v>0.45645833333333341</v>
      </c>
      <c r="J32" s="3">
        <f>'Labour Costs (2022-2024)'!K22</f>
        <v>0.45645833333333341</v>
      </c>
      <c r="K32" s="3">
        <f>'Labour Costs (2022-2024)'!L22</f>
        <v>0.52166666666666672</v>
      </c>
      <c r="L32" s="3">
        <f>'Labour Costs (2022-2024)'!M22</f>
        <v>0.52166666666666672</v>
      </c>
      <c r="M32" s="3">
        <f>'Labour Costs (2022-2024)'!N22</f>
        <v>0.45645833333333341</v>
      </c>
      <c r="N32" s="3">
        <f>'Labour Costs (2022-2024)'!O22</f>
        <v>0.39125000000000004</v>
      </c>
      <c r="O32" s="3">
        <f>'Labour Costs (2022-2024)'!P22</f>
        <v>0.52166666666666672</v>
      </c>
      <c r="P32" s="3">
        <f>'Labour Costs (2022-2024)'!Q22</f>
        <v>0.39125000000000004</v>
      </c>
      <c r="Q32" s="3">
        <f>'Labour Costs (2022-2024)'!R22</f>
        <v>0.39125000000000004</v>
      </c>
      <c r="R32" s="3">
        <f>'Labour Costs (2022-2024)'!S22</f>
        <v>0.52166666666666672</v>
      </c>
      <c r="S32" s="3">
        <f>'Labour Costs (2022-2024)'!T22</f>
        <v>0.52166666666666672</v>
      </c>
      <c r="T32" s="3">
        <f>'Labour Costs (2022-2024)'!U22</f>
        <v>0.52166666666666672</v>
      </c>
      <c r="U32" s="3">
        <f>'Labour Costs (2022-2024)'!V22</f>
        <v>0.78250000000000008</v>
      </c>
      <c r="V32" s="45">
        <f t="shared" si="8"/>
        <v>9.455208333333335</v>
      </c>
    </row>
    <row r="33" spans="1:23">
      <c r="A33" s="5" t="s">
        <v>159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46"/>
    </row>
    <row r="34" spans="1:23">
      <c r="A34" t="s">
        <v>208</v>
      </c>
      <c r="B34" s="24">
        <f>'Labour Costs (2022-2024)'!C37</f>
        <v>0</v>
      </c>
      <c r="C34" s="24">
        <f>'Labour Costs (2022-2024)'!D37</f>
        <v>0</v>
      </c>
      <c r="D34" s="24">
        <f>'Labour Costs (2022-2024)'!E37</f>
        <v>0</v>
      </c>
      <c r="E34" s="24">
        <f>'Labour Costs (2022-2024)'!F37</f>
        <v>0</v>
      </c>
      <c r="F34" s="24">
        <f>'Labour Costs (2022-2024)'!G37</f>
        <v>0</v>
      </c>
      <c r="G34" s="24">
        <f>'Labour Costs (2022-2024)'!H37</f>
        <v>0</v>
      </c>
      <c r="H34" s="24">
        <f>'Labour Costs (2022-2024)'!I37</f>
        <v>0</v>
      </c>
      <c r="I34" s="24">
        <f>'Labour Costs (2022-2024)'!J37</f>
        <v>0</v>
      </c>
      <c r="J34" s="24">
        <f>'Labour Costs (2022-2024)'!K37</f>
        <v>0</v>
      </c>
      <c r="K34" s="24">
        <f>'Labour Costs (2022-2024)'!L37</f>
        <v>0</v>
      </c>
      <c r="L34" s="24">
        <f>'Labour Costs (2022-2024)'!M37</f>
        <v>0</v>
      </c>
      <c r="M34" s="24">
        <f>'Labour Costs (2022-2024)'!N37</f>
        <v>0</v>
      </c>
      <c r="N34" s="24">
        <f>'Labour Costs (2022-2024)'!O37</f>
        <v>0</v>
      </c>
      <c r="O34" s="24">
        <f>'Labour Costs (2022-2024)'!P37</f>
        <v>0</v>
      </c>
      <c r="P34" s="24">
        <f>'Labour Costs (2022-2024)'!Q37</f>
        <v>0</v>
      </c>
      <c r="Q34" s="24">
        <f>'Labour Costs (2022-2024)'!R37</f>
        <v>0</v>
      </c>
      <c r="R34" s="24">
        <f>'Labour Costs (2022-2024)'!S37</f>
        <v>0</v>
      </c>
      <c r="S34" s="24">
        <f>'Labour Costs (2022-2024)'!T37</f>
        <v>0</v>
      </c>
      <c r="T34" s="24">
        <f>'Labour Costs (2022-2024)'!U37</f>
        <v>0</v>
      </c>
      <c r="U34" s="24">
        <f>'Labour Costs (2022-2024)'!V37</f>
        <v>0</v>
      </c>
      <c r="V34" s="44">
        <f>SUM(B34:U34)</f>
        <v>0</v>
      </c>
    </row>
    <row r="35" spans="1:23">
      <c r="A35" t="s">
        <v>209</v>
      </c>
      <c r="B35" s="62">
        <v>0</v>
      </c>
      <c r="C35" s="62">
        <v>0</v>
      </c>
      <c r="D35" s="62">
        <v>0</v>
      </c>
      <c r="E35" s="62">
        <v>0</v>
      </c>
      <c r="F35" s="62">
        <v>0</v>
      </c>
      <c r="G35" s="62">
        <v>0</v>
      </c>
      <c r="H35" s="62">
        <v>0</v>
      </c>
      <c r="I35" s="62">
        <v>0</v>
      </c>
      <c r="J35" s="62">
        <v>0</v>
      </c>
      <c r="K35" s="62">
        <v>0</v>
      </c>
      <c r="L35" s="62">
        <v>0</v>
      </c>
      <c r="M35" s="62">
        <v>0</v>
      </c>
      <c r="N35" s="62">
        <v>0</v>
      </c>
      <c r="O35" s="62">
        <v>0</v>
      </c>
      <c r="P35" s="62">
        <v>0</v>
      </c>
      <c r="Q35" s="62">
        <v>0</v>
      </c>
      <c r="R35" s="62">
        <v>0</v>
      </c>
      <c r="S35" s="62">
        <v>0</v>
      </c>
      <c r="T35" s="62">
        <v>0</v>
      </c>
      <c r="U35" s="62">
        <v>0</v>
      </c>
      <c r="V35" s="44">
        <f t="shared" ref="V35:V36" si="9">SUM(B35:U35)</f>
        <v>0</v>
      </c>
    </row>
    <row r="36" spans="1:23">
      <c r="A36" t="s">
        <v>210</v>
      </c>
      <c r="B36" s="62">
        <v>0</v>
      </c>
      <c r="C36" s="62">
        <v>0</v>
      </c>
      <c r="D36" s="62">
        <v>0</v>
      </c>
      <c r="E36" s="62">
        <v>0</v>
      </c>
      <c r="F36" s="62">
        <v>0</v>
      </c>
      <c r="G36" s="62">
        <v>0</v>
      </c>
      <c r="H36" s="62">
        <v>0</v>
      </c>
      <c r="I36" s="62">
        <v>0</v>
      </c>
      <c r="J36" s="62">
        <v>0</v>
      </c>
      <c r="K36" s="62">
        <v>0</v>
      </c>
      <c r="L36" s="62">
        <v>0</v>
      </c>
      <c r="M36" s="62">
        <v>0</v>
      </c>
      <c r="N36" s="62">
        <v>0</v>
      </c>
      <c r="O36" s="62">
        <v>0</v>
      </c>
      <c r="P36" s="62">
        <v>0</v>
      </c>
      <c r="Q36" s="62">
        <v>0</v>
      </c>
      <c r="R36" s="62">
        <v>0</v>
      </c>
      <c r="S36" s="62">
        <v>0</v>
      </c>
      <c r="T36" s="62">
        <v>0</v>
      </c>
      <c r="U36" s="62">
        <v>0</v>
      </c>
      <c r="V36" s="44">
        <f t="shared" si="9"/>
        <v>0</v>
      </c>
    </row>
    <row r="37" spans="1:23">
      <c r="A37" s="5" t="s">
        <v>311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46"/>
    </row>
    <row r="38" spans="1:23">
      <c r="A38" t="s">
        <v>335</v>
      </c>
      <c r="B38" s="62">
        <f t="shared" ref="B38:U38" si="10">B10*0.25</f>
        <v>4.429738726645688</v>
      </c>
      <c r="C38" s="62">
        <f t="shared" si="10"/>
        <v>6.3618006846102801</v>
      </c>
      <c r="D38" s="62">
        <f t="shared" si="10"/>
        <v>4.5558031818304165</v>
      </c>
      <c r="E38" s="62">
        <f t="shared" si="10"/>
        <v>6.1753348055656216</v>
      </c>
      <c r="F38" s="62">
        <f t="shared" si="10"/>
        <v>4.4030928309045407</v>
      </c>
      <c r="G38" s="62">
        <f t="shared" si="10"/>
        <v>4.3710738564672056</v>
      </c>
      <c r="H38" s="62">
        <f t="shared" si="10"/>
        <v>4.9302332565691085</v>
      </c>
      <c r="I38" s="62">
        <f t="shared" si="10"/>
        <v>5.5042100631013691</v>
      </c>
      <c r="J38" s="62">
        <f t="shared" si="10"/>
        <v>6.8498329237769138</v>
      </c>
      <c r="K38" s="62">
        <f t="shared" si="10"/>
        <v>6.3844211047906292</v>
      </c>
      <c r="L38" s="62">
        <f t="shared" si="10"/>
        <v>10.960239145997981</v>
      </c>
      <c r="M38" s="62">
        <f t="shared" si="10"/>
        <v>7.7682562208883725</v>
      </c>
      <c r="N38" s="62">
        <f t="shared" si="10"/>
        <v>9.048845883364395</v>
      </c>
      <c r="O38" s="62">
        <f t="shared" si="10"/>
        <v>5.9063436186106912</v>
      </c>
      <c r="P38" s="62">
        <f t="shared" si="10"/>
        <v>7.7891978209421824</v>
      </c>
      <c r="Q38" s="62">
        <f t="shared" si="10"/>
        <v>4.3553863130457868</v>
      </c>
      <c r="R38" s="62">
        <f t="shared" si="10"/>
        <v>4.6021071738927182</v>
      </c>
      <c r="S38" s="62">
        <f t="shared" si="10"/>
        <v>9.275730211246719</v>
      </c>
      <c r="T38" s="62">
        <f t="shared" si="10"/>
        <v>4.985273892503967</v>
      </c>
      <c r="U38" s="62">
        <f t="shared" si="10"/>
        <v>9.9115055661099412</v>
      </c>
      <c r="V38" s="44">
        <f>SUM(B38:U38)</f>
        <v>128.56842728086454</v>
      </c>
    </row>
    <row r="39" spans="1:23">
      <c r="A39" s="13" t="s">
        <v>336</v>
      </c>
      <c r="B39" s="30">
        <f t="shared" ref="B39:U39" si="11">B11*0.35</f>
        <v>10.542778169416739</v>
      </c>
      <c r="C39" s="30">
        <f t="shared" si="11"/>
        <v>15.141085629372467</v>
      </c>
      <c r="D39" s="30">
        <f t="shared" si="11"/>
        <v>10.842811572756395</v>
      </c>
      <c r="E39" s="30">
        <f t="shared" si="11"/>
        <v>14.697296837246181</v>
      </c>
      <c r="F39" s="30">
        <f t="shared" si="11"/>
        <v>10.479360937552809</v>
      </c>
      <c r="G39" s="30">
        <f t="shared" si="11"/>
        <v>10.40315577839195</v>
      </c>
      <c r="H39" s="30">
        <f t="shared" si="11"/>
        <v>11.733955150634479</v>
      </c>
      <c r="I39" s="30">
        <f t="shared" si="11"/>
        <v>13.10001995018126</v>
      </c>
      <c r="J39" s="30">
        <f t="shared" si="11"/>
        <v>17.261578967917824</v>
      </c>
      <c r="K39" s="30">
        <f t="shared" si="11"/>
        <v>16.088741184072386</v>
      </c>
      <c r="L39" s="30">
        <f t="shared" si="11"/>
        <v>27.619802647914913</v>
      </c>
      <c r="M39" s="30">
        <f t="shared" si="11"/>
        <v>19.576005676638697</v>
      </c>
      <c r="N39" s="30">
        <f t="shared" si="11"/>
        <v>22.803091626078277</v>
      </c>
      <c r="O39" s="30">
        <f t="shared" si="11"/>
        <v>14.883985918898942</v>
      </c>
      <c r="P39" s="30">
        <f t="shared" si="11"/>
        <v>19.628778508774296</v>
      </c>
      <c r="Q39" s="30">
        <f t="shared" si="11"/>
        <v>10.975573508875382</v>
      </c>
      <c r="R39" s="30">
        <f t="shared" si="11"/>
        <v>11.597310078209647</v>
      </c>
      <c r="S39" s="30">
        <f t="shared" si="11"/>
        <v>23.374840132341728</v>
      </c>
      <c r="T39" s="30">
        <f t="shared" si="11"/>
        <v>12.56289020911</v>
      </c>
      <c r="U39" s="30">
        <f t="shared" si="11"/>
        <v>24.976994026597055</v>
      </c>
      <c r="V39" s="51">
        <f t="shared" ref="V39:V40" si="12">SUM(B39:U39)</f>
        <v>318.29005651098134</v>
      </c>
      <c r="W39" t="s">
        <v>334</v>
      </c>
    </row>
    <row r="40" spans="1:23">
      <c r="A40" s="37" t="s">
        <v>372</v>
      </c>
      <c r="B40" s="40">
        <f>SUM(B21,B22,B24)</f>
        <v>1.67875</v>
      </c>
      <c r="C40" s="40">
        <f t="shared" ref="C40:U40" si="13">SUM(C21,C22,C24)</f>
        <v>1.67875</v>
      </c>
      <c r="D40" s="40">
        <f t="shared" si="13"/>
        <v>1.67875</v>
      </c>
      <c r="E40" s="40">
        <f t="shared" si="13"/>
        <v>1.67875</v>
      </c>
      <c r="F40" s="40">
        <f t="shared" si="13"/>
        <v>4.5637499999999998</v>
      </c>
      <c r="G40" s="40">
        <f t="shared" si="13"/>
        <v>4.5637499999999998</v>
      </c>
      <c r="H40" s="40">
        <f t="shared" si="13"/>
        <v>4.5637499999999998</v>
      </c>
      <c r="I40" s="40">
        <f t="shared" si="13"/>
        <v>4.5637499999999998</v>
      </c>
      <c r="J40" s="40">
        <f t="shared" si="13"/>
        <v>23.134999999999998</v>
      </c>
      <c r="K40" s="40">
        <f t="shared" si="13"/>
        <v>23.134999999999998</v>
      </c>
      <c r="L40" s="40">
        <f t="shared" si="13"/>
        <v>23.134999999999998</v>
      </c>
      <c r="M40" s="40">
        <f t="shared" si="13"/>
        <v>23.134999999999998</v>
      </c>
      <c r="N40" s="40">
        <f t="shared" si="13"/>
        <v>23.134999999999998</v>
      </c>
      <c r="O40" s="40">
        <f t="shared" si="13"/>
        <v>23.134999999999998</v>
      </c>
      <c r="P40" s="40">
        <f t="shared" si="13"/>
        <v>23.134999999999998</v>
      </c>
      <c r="Q40" s="40">
        <f t="shared" si="13"/>
        <v>23.134999999999998</v>
      </c>
      <c r="R40" s="40">
        <f t="shared" si="13"/>
        <v>23.134999999999998</v>
      </c>
      <c r="S40" s="40">
        <f t="shared" si="13"/>
        <v>23.134999999999998</v>
      </c>
      <c r="T40" s="40">
        <f t="shared" si="13"/>
        <v>23.134999999999998</v>
      </c>
      <c r="U40" s="40">
        <f t="shared" si="13"/>
        <v>23.134999999999998</v>
      </c>
      <c r="V40" s="48">
        <f t="shared" si="12"/>
        <v>302.58999999999992</v>
      </c>
    </row>
    <row r="41" spans="1:23">
      <c r="A41" s="37" t="s">
        <v>339</v>
      </c>
      <c r="B41" s="40">
        <f t="shared" ref="B41:U41" si="14">SUM(B18+B26+B28+B30+B31+B32+B34)</f>
        <v>25.561666666666671</v>
      </c>
      <c r="C41" s="40">
        <f t="shared" si="14"/>
        <v>27.713541666666668</v>
      </c>
      <c r="D41" s="40">
        <f t="shared" si="14"/>
        <v>28.626458333333336</v>
      </c>
      <c r="E41" s="40">
        <f t="shared" si="14"/>
        <v>35.212500000000006</v>
      </c>
      <c r="F41" s="40">
        <f t="shared" si="14"/>
        <v>26.14854166666667</v>
      </c>
      <c r="G41" s="40">
        <f t="shared" si="14"/>
        <v>32.734583333333333</v>
      </c>
      <c r="H41" s="40">
        <f t="shared" si="14"/>
        <v>31.560833333333338</v>
      </c>
      <c r="I41" s="40">
        <f t="shared" si="14"/>
        <v>27.778750000000006</v>
      </c>
      <c r="J41" s="40">
        <f t="shared" si="14"/>
        <v>32.212916666666665</v>
      </c>
      <c r="K41" s="40">
        <f t="shared" si="14"/>
        <v>35.147291666666668</v>
      </c>
      <c r="L41" s="40">
        <f t="shared" si="14"/>
        <v>26.800625000000004</v>
      </c>
      <c r="M41" s="40">
        <f t="shared" si="14"/>
        <v>34.03875</v>
      </c>
      <c r="N41" s="40">
        <f t="shared" si="14"/>
        <v>26.409375000000001</v>
      </c>
      <c r="O41" s="40">
        <f t="shared" si="14"/>
        <v>40.363958333333336</v>
      </c>
      <c r="P41" s="40">
        <f t="shared" si="14"/>
        <v>21.975208333333335</v>
      </c>
      <c r="Q41" s="40">
        <f t="shared" si="14"/>
        <v>47.015208333333348</v>
      </c>
      <c r="R41" s="40">
        <f t="shared" si="14"/>
        <v>34.364791666666669</v>
      </c>
      <c r="S41" s="40">
        <f t="shared" si="14"/>
        <v>24.713958333333338</v>
      </c>
      <c r="T41" s="40">
        <f t="shared" si="14"/>
        <v>40.363958333333336</v>
      </c>
      <c r="U41" s="40">
        <f t="shared" si="14"/>
        <v>24.974791666666668</v>
      </c>
      <c r="V41" s="48">
        <f>SUM(B41:U41)</f>
        <v>623.71770833333346</v>
      </c>
    </row>
    <row r="42" spans="1:23">
      <c r="A42" s="39" t="s">
        <v>338</v>
      </c>
      <c r="B42" s="40">
        <f t="shared" ref="B42:U42" si="15">SUM(B18+B26+B28+B30+B31+B32+B34)</f>
        <v>25.561666666666671</v>
      </c>
      <c r="C42" s="40">
        <f t="shared" si="15"/>
        <v>27.713541666666668</v>
      </c>
      <c r="D42" s="40">
        <f t="shared" si="15"/>
        <v>28.626458333333336</v>
      </c>
      <c r="E42" s="40">
        <f t="shared" si="15"/>
        <v>35.212500000000006</v>
      </c>
      <c r="F42" s="40">
        <f t="shared" si="15"/>
        <v>26.14854166666667</v>
      </c>
      <c r="G42" s="40">
        <f t="shared" si="15"/>
        <v>32.734583333333333</v>
      </c>
      <c r="H42" s="40">
        <f t="shared" si="15"/>
        <v>31.560833333333338</v>
      </c>
      <c r="I42" s="40">
        <f t="shared" si="15"/>
        <v>27.778750000000006</v>
      </c>
      <c r="J42" s="40">
        <f t="shared" si="15"/>
        <v>32.212916666666665</v>
      </c>
      <c r="K42" s="40">
        <f t="shared" si="15"/>
        <v>35.147291666666668</v>
      </c>
      <c r="L42" s="40">
        <f t="shared" si="15"/>
        <v>26.800625000000004</v>
      </c>
      <c r="M42" s="40">
        <f t="shared" si="15"/>
        <v>34.03875</v>
      </c>
      <c r="N42" s="40">
        <f t="shared" si="15"/>
        <v>26.409375000000001</v>
      </c>
      <c r="O42" s="40">
        <f t="shared" si="15"/>
        <v>40.363958333333336</v>
      </c>
      <c r="P42" s="40">
        <f t="shared" si="15"/>
        <v>21.975208333333335</v>
      </c>
      <c r="Q42" s="40">
        <f t="shared" si="15"/>
        <v>47.015208333333348</v>
      </c>
      <c r="R42" s="40">
        <f t="shared" si="15"/>
        <v>34.364791666666669</v>
      </c>
      <c r="S42" s="40">
        <f t="shared" si="15"/>
        <v>24.713958333333338</v>
      </c>
      <c r="T42" s="40">
        <f t="shared" si="15"/>
        <v>40.363958333333336</v>
      </c>
      <c r="U42" s="40">
        <f t="shared" si="15"/>
        <v>24.974791666666668</v>
      </c>
      <c r="V42" s="48">
        <f>SUM(B42:U42)</f>
        <v>623.71770833333346</v>
      </c>
    </row>
    <row r="43" spans="1:23">
      <c r="A43" s="39" t="s">
        <v>312</v>
      </c>
      <c r="B43" s="40">
        <f>SUM(B16:B36,B38)</f>
        <v>33.915988726645693</v>
      </c>
      <c r="C43" s="40">
        <f t="shared" ref="C43:U43" si="16">SUM(C16:C36,C38)</f>
        <v>37.999925684610275</v>
      </c>
      <c r="D43" s="40">
        <f t="shared" si="16"/>
        <v>37.10684484849709</v>
      </c>
      <c r="E43" s="40">
        <f t="shared" si="16"/>
        <v>45.312418138898956</v>
      </c>
      <c r="F43" s="40">
        <f t="shared" si="16"/>
        <v>37.361217830904536</v>
      </c>
      <c r="G43" s="40">
        <f t="shared" si="16"/>
        <v>43.915240523133875</v>
      </c>
      <c r="H43" s="40">
        <f t="shared" si="16"/>
        <v>43.300649923235781</v>
      </c>
      <c r="I43" s="40">
        <f t="shared" si="16"/>
        <v>40.092543396434699</v>
      </c>
      <c r="J43" s="40">
        <f t="shared" si="16"/>
        <v>64.443582923776916</v>
      </c>
      <c r="K43" s="40">
        <f t="shared" si="16"/>
        <v>66.912546104790636</v>
      </c>
      <c r="L43" s="40">
        <f t="shared" si="16"/>
        <v>63.141697479331313</v>
      </c>
      <c r="M43" s="40">
        <f t="shared" si="16"/>
        <v>67.187839554221711</v>
      </c>
      <c r="N43" s="40">
        <f t="shared" si="16"/>
        <v>60.839054216697726</v>
      </c>
      <c r="O43" s="40">
        <f t="shared" si="16"/>
        <v>71.651135285277348</v>
      </c>
      <c r="P43" s="40">
        <f t="shared" si="16"/>
        <v>55.145239487608855</v>
      </c>
      <c r="Q43" s="40">
        <f t="shared" si="16"/>
        <v>76.751427979712446</v>
      </c>
      <c r="R43" s="40">
        <f t="shared" si="16"/>
        <v>64.347732173892709</v>
      </c>
      <c r="S43" s="40">
        <f t="shared" si="16"/>
        <v>59.370521877913383</v>
      </c>
      <c r="T43" s="40">
        <f t="shared" si="16"/>
        <v>70.730065559170626</v>
      </c>
      <c r="U43" s="40">
        <f t="shared" si="16"/>
        <v>60.267130566109941</v>
      </c>
      <c r="V43" s="48">
        <f>SUM(B43:U43)</f>
        <v>1099.7928022808646</v>
      </c>
    </row>
    <row r="44" spans="1:23">
      <c r="A44" s="37" t="s">
        <v>313</v>
      </c>
      <c r="B44" s="40">
        <f>SUM(B16:B36,B39)</f>
        <v>40.02902816941674</v>
      </c>
      <c r="C44" s="40">
        <f t="shared" ref="C44:U44" si="17">SUM(C16:C36,C39)</f>
        <v>46.779210629372464</v>
      </c>
      <c r="D44" s="40">
        <f t="shared" si="17"/>
        <v>43.393853239423066</v>
      </c>
      <c r="E44" s="40">
        <f t="shared" si="17"/>
        <v>53.834380170579522</v>
      </c>
      <c r="F44" s="40">
        <f t="shared" si="17"/>
        <v>43.437485937552808</v>
      </c>
      <c r="G44" s="40">
        <f t="shared" si="17"/>
        <v>49.947322445058617</v>
      </c>
      <c r="H44" s="40">
        <f t="shared" si="17"/>
        <v>50.10437181730115</v>
      </c>
      <c r="I44" s="40">
        <f t="shared" si="17"/>
        <v>47.688353283514587</v>
      </c>
      <c r="J44" s="40">
        <f t="shared" si="17"/>
        <v>74.855328967917828</v>
      </c>
      <c r="K44" s="40">
        <f t="shared" si="17"/>
        <v>76.616866184072393</v>
      </c>
      <c r="L44" s="40">
        <f t="shared" si="17"/>
        <v>79.801260981248248</v>
      </c>
      <c r="M44" s="40">
        <f t="shared" si="17"/>
        <v>78.995589009972036</v>
      </c>
      <c r="N44" s="40">
        <f t="shared" si="17"/>
        <v>74.59329995941161</v>
      </c>
      <c r="O44" s="40">
        <f t="shared" si="17"/>
        <v>80.628777585565601</v>
      </c>
      <c r="P44" s="40">
        <f t="shared" si="17"/>
        <v>66.984820175440973</v>
      </c>
      <c r="Q44" s="40">
        <f t="shared" si="17"/>
        <v>83.371615175542047</v>
      </c>
      <c r="R44" s="40">
        <f t="shared" si="17"/>
        <v>71.342935078209649</v>
      </c>
      <c r="S44" s="40">
        <f t="shared" si="17"/>
        <v>73.469631799008397</v>
      </c>
      <c r="T44" s="40">
        <f t="shared" si="17"/>
        <v>78.307681875776652</v>
      </c>
      <c r="U44" s="40">
        <f t="shared" si="17"/>
        <v>75.332619026597058</v>
      </c>
      <c r="V44" s="52">
        <f>SUM(B44:U44)</f>
        <v>1289.5144315109812</v>
      </c>
    </row>
    <row r="46" spans="1:23">
      <c r="A46" s="35" t="s">
        <v>214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41"/>
    </row>
    <row r="47" spans="1:23">
      <c r="A47" s="37" t="s">
        <v>314</v>
      </c>
      <c r="B47" s="53">
        <f t="shared" ref="B47:U47" si="18">B10-B43</f>
        <v>-16.197033820062941</v>
      </c>
      <c r="C47" s="53">
        <f t="shared" si="18"/>
        <v>-12.552722946169155</v>
      </c>
      <c r="D47" s="53">
        <f t="shared" si="18"/>
        <v>-18.883632121175424</v>
      </c>
      <c r="E47" s="53">
        <f t="shared" si="18"/>
        <v>-20.611078916636469</v>
      </c>
      <c r="F47" s="53">
        <f t="shared" si="18"/>
        <v>-19.748846507286373</v>
      </c>
      <c r="G47" s="53">
        <f t="shared" si="18"/>
        <v>-26.430945097265052</v>
      </c>
      <c r="H47" s="53">
        <f t="shared" si="18"/>
        <v>-23.579716896959347</v>
      </c>
      <c r="I47" s="53">
        <f t="shared" si="18"/>
        <v>-18.075703144029223</v>
      </c>
      <c r="J47" s="53">
        <f t="shared" si="18"/>
        <v>-37.04425122866926</v>
      </c>
      <c r="K47" s="53">
        <f t="shared" si="18"/>
        <v>-41.374861685628119</v>
      </c>
      <c r="L47" s="53">
        <f t="shared" si="18"/>
        <v>-19.300740895339388</v>
      </c>
      <c r="M47" s="53">
        <f t="shared" si="18"/>
        <v>-36.114814670668224</v>
      </c>
      <c r="N47" s="53">
        <f t="shared" si="18"/>
        <v>-24.643670683240146</v>
      </c>
      <c r="O47" s="53">
        <f t="shared" si="18"/>
        <v>-48.025760810834583</v>
      </c>
      <c r="P47" s="53">
        <f t="shared" si="18"/>
        <v>-23.988448203840125</v>
      </c>
      <c r="Q47" s="53">
        <f t="shared" si="18"/>
        <v>-59.329882727529295</v>
      </c>
      <c r="R47" s="53">
        <f t="shared" si="18"/>
        <v>-45.939303478321833</v>
      </c>
      <c r="S47" s="53">
        <f t="shared" si="18"/>
        <v>-22.267601032926507</v>
      </c>
      <c r="T47" s="53">
        <f t="shared" si="18"/>
        <v>-50.788969989154758</v>
      </c>
      <c r="U47" s="53">
        <f t="shared" si="18"/>
        <v>-20.621108301670176</v>
      </c>
      <c r="V47" s="54">
        <f>AVERAGE(B47:U47)</f>
        <v>-29.275954657870319</v>
      </c>
    </row>
    <row r="48" spans="1:23">
      <c r="A48" s="37" t="s">
        <v>315</v>
      </c>
      <c r="B48" s="53">
        <f t="shared" ref="B48:U48" si="19">B11-B44</f>
        <v>-9.9068048282260577</v>
      </c>
      <c r="C48" s="53">
        <f t="shared" si="19"/>
        <v>-3.5189659740225565</v>
      </c>
      <c r="D48" s="53">
        <f t="shared" si="19"/>
        <v>-12.414391602976224</v>
      </c>
      <c r="E48" s="53">
        <f t="shared" si="19"/>
        <v>-11.842103492733287</v>
      </c>
      <c r="F48" s="53">
        <f t="shared" si="19"/>
        <v>-13.496454687401926</v>
      </c>
      <c r="G48" s="53">
        <f t="shared" si="19"/>
        <v>-20.224020221081616</v>
      </c>
      <c r="H48" s="53">
        <f t="shared" si="19"/>
        <v>-16.578785672631206</v>
      </c>
      <c r="I48" s="53">
        <f t="shared" si="19"/>
        <v>-10.259724854425272</v>
      </c>
      <c r="J48" s="53">
        <f t="shared" si="19"/>
        <v>-25.536531916724044</v>
      </c>
      <c r="K48" s="53">
        <f t="shared" si="19"/>
        <v>-30.649034229579854</v>
      </c>
      <c r="L48" s="53">
        <f t="shared" si="19"/>
        <v>-0.88753913006277685</v>
      </c>
      <c r="M48" s="53">
        <f t="shared" si="19"/>
        <v>-23.064144219575752</v>
      </c>
      <c r="N48" s="53">
        <f t="shared" si="19"/>
        <v>-9.4416095991879558</v>
      </c>
      <c r="O48" s="53">
        <f t="shared" si="19"/>
        <v>-38.103103531568621</v>
      </c>
      <c r="P48" s="53">
        <f t="shared" si="19"/>
        <v>-10.902595864657265</v>
      </c>
      <c r="Q48" s="53">
        <f t="shared" si="19"/>
        <v>-52.012833721612381</v>
      </c>
      <c r="R48" s="53">
        <f t="shared" si="19"/>
        <v>-38.207763426182083</v>
      </c>
      <c r="S48" s="53">
        <f t="shared" si="19"/>
        <v>-6.6843742780320241</v>
      </c>
      <c r="T48" s="53">
        <f t="shared" si="19"/>
        <v>-42.413709849748081</v>
      </c>
      <c r="U48" s="53">
        <f t="shared" si="19"/>
        <v>-3.9697789506054733</v>
      </c>
      <c r="V48" s="54">
        <f t="shared" ref="V48:V50" si="20">AVERAGE(B48:U48)</f>
        <v>-19.005713502551721</v>
      </c>
    </row>
    <row r="49" spans="1:22">
      <c r="A49" s="37" t="s">
        <v>352</v>
      </c>
      <c r="B49" s="53">
        <f t="shared" ref="B49:U49" si="21">B12-B43</f>
        <v>-22.103352122257192</v>
      </c>
      <c r="C49" s="53">
        <f t="shared" si="21"/>
        <v>-21.035123858982864</v>
      </c>
      <c r="D49" s="53">
        <f t="shared" si="21"/>
        <v>-24.958036363615982</v>
      </c>
      <c r="E49" s="53">
        <f t="shared" si="21"/>
        <v>-28.844858657390631</v>
      </c>
      <c r="F49" s="53">
        <f t="shared" si="21"/>
        <v>-25.619636948492428</v>
      </c>
      <c r="G49" s="53">
        <f t="shared" si="21"/>
        <v>-32.25904357255466</v>
      </c>
      <c r="H49" s="53">
        <f t="shared" si="21"/>
        <v>-30.153361239051492</v>
      </c>
      <c r="I49" s="53">
        <f t="shared" si="21"/>
        <v>-25.414649894831051</v>
      </c>
      <c r="J49" s="53">
        <f t="shared" si="21"/>
        <v>-46.177361793705145</v>
      </c>
      <c r="K49" s="53">
        <f t="shared" si="21"/>
        <v>-49.887423158682296</v>
      </c>
      <c r="L49" s="53">
        <f t="shared" si="21"/>
        <v>-33.914393090003365</v>
      </c>
      <c r="M49" s="53">
        <f t="shared" si="21"/>
        <v>-46.472489631852717</v>
      </c>
      <c r="N49" s="53">
        <f t="shared" si="21"/>
        <v>-36.708798527726003</v>
      </c>
      <c r="O49" s="53">
        <f t="shared" si="21"/>
        <v>-55.900885635648841</v>
      </c>
      <c r="P49" s="53">
        <f t="shared" si="21"/>
        <v>-34.374045298429706</v>
      </c>
      <c r="Q49" s="53">
        <f t="shared" si="21"/>
        <v>-65.137064478257017</v>
      </c>
      <c r="R49" s="53">
        <f t="shared" si="21"/>
        <v>-52.075446376845463</v>
      </c>
      <c r="S49" s="53">
        <f t="shared" si="21"/>
        <v>-34.635241314588797</v>
      </c>
      <c r="T49" s="53">
        <f t="shared" si="21"/>
        <v>-57.436001845826716</v>
      </c>
      <c r="U49" s="53">
        <f t="shared" si="21"/>
        <v>-33.836449056483431</v>
      </c>
      <c r="V49" s="54">
        <f t="shared" si="20"/>
        <v>-37.84718314326129</v>
      </c>
    </row>
    <row r="50" spans="1:22">
      <c r="A50" s="37" t="s">
        <v>353</v>
      </c>
      <c r="B50" s="53">
        <f t="shared" ref="B50:U50" si="22">B13-B44</f>
        <v>-15.931249496464194</v>
      </c>
      <c r="C50" s="53">
        <f t="shared" si="22"/>
        <v>-12.171014905092534</v>
      </c>
      <c r="D50" s="53">
        <f t="shared" si="22"/>
        <v>-18.610283930265592</v>
      </c>
      <c r="E50" s="53">
        <f t="shared" si="22"/>
        <v>-20.240558828302532</v>
      </c>
      <c r="F50" s="53">
        <f t="shared" si="22"/>
        <v>-19.4846609374321</v>
      </c>
      <c r="G50" s="53">
        <f t="shared" si="22"/>
        <v>-26.168680665877016</v>
      </c>
      <c r="H50" s="53">
        <f t="shared" si="22"/>
        <v>-23.283902901565192</v>
      </c>
      <c r="I50" s="53">
        <f t="shared" si="22"/>
        <v>-17.745450540243134</v>
      </c>
      <c r="J50" s="53">
        <f t="shared" si="22"/>
        <v>-35.400291326962801</v>
      </c>
      <c r="K50" s="53">
        <f t="shared" si="22"/>
        <v>-39.842600620478358</v>
      </c>
      <c r="L50" s="53">
        <f t="shared" si="22"/>
        <v>-16.670283500299867</v>
      </c>
      <c r="M50" s="53">
        <f t="shared" si="22"/>
        <v>-34.250433177655005</v>
      </c>
      <c r="N50" s="53">
        <f t="shared" si="22"/>
        <v>-22.471947671232684</v>
      </c>
      <c r="O50" s="53">
        <f t="shared" si="22"/>
        <v>-46.608238342368018</v>
      </c>
      <c r="P50" s="53">
        <f t="shared" si="22"/>
        <v>-22.119040726814006</v>
      </c>
      <c r="Q50" s="53">
        <f t="shared" si="22"/>
        <v>-58.284590012398311</v>
      </c>
      <c r="R50" s="53">
        <f t="shared" si="22"/>
        <v>-44.834797756587591</v>
      </c>
      <c r="S50" s="53">
        <f t="shared" si="22"/>
        <v>-20.041425782227293</v>
      </c>
      <c r="T50" s="53">
        <f t="shared" si="22"/>
        <v>-49.592504254953795</v>
      </c>
      <c r="U50" s="53">
        <f t="shared" si="22"/>
        <v>-18.24234696580379</v>
      </c>
      <c r="V50" s="54">
        <f t="shared" si="20"/>
        <v>-28.099715117151192</v>
      </c>
    </row>
  </sheetData>
  <conditionalFormatting sqref="B47:V50">
    <cfRule type="cellIs" dxfId="5" priority="1" operator="greaterThan">
      <formula>0.1</formula>
    </cfRule>
    <cfRule type="cellIs" dxfId="4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CFF6-6006-4326-91A9-3BB7568828C6}">
  <dimension ref="A1:AO54"/>
  <sheetViews>
    <sheetView zoomScale="115" zoomScaleNormal="115"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J41" sqref="J41"/>
    </sheetView>
  </sheetViews>
  <sheetFormatPr defaultRowHeight="15"/>
  <cols>
    <col min="1" max="1" width="68.42578125" bestFit="1" customWidth="1"/>
    <col min="2" max="9" width="9" customWidth="1"/>
    <col min="10" max="10" width="9.7109375" bestFit="1" customWidth="1"/>
    <col min="11" max="14" width="9" customWidth="1"/>
    <col min="15" max="15" width="9.7109375" bestFit="1" customWidth="1"/>
    <col min="16" max="21" width="9" customWidth="1"/>
    <col min="22" max="22" width="10.5703125" bestFit="1" customWidth="1"/>
    <col min="23" max="23" width="9" customWidth="1"/>
    <col min="24" max="24" width="63.85546875" bestFit="1" customWidth="1"/>
    <col min="25" max="123" width="9" customWidth="1"/>
  </cols>
  <sheetData>
    <row r="1" spans="1:41" s="1" customFormat="1" ht="71.25">
      <c r="A1" s="16"/>
      <c r="B1" s="17" t="s">
        <v>33</v>
      </c>
      <c r="C1" s="17" t="s">
        <v>16</v>
      </c>
      <c r="D1" s="17" t="s">
        <v>17</v>
      </c>
      <c r="E1" s="17" t="s">
        <v>18</v>
      </c>
      <c r="F1" s="17" t="s">
        <v>19</v>
      </c>
      <c r="G1" s="17" t="s">
        <v>20</v>
      </c>
      <c r="H1" s="17" t="s">
        <v>21</v>
      </c>
      <c r="I1" s="17" t="s">
        <v>22</v>
      </c>
      <c r="J1" s="17" t="s">
        <v>23</v>
      </c>
      <c r="K1" s="17" t="s">
        <v>24</v>
      </c>
      <c r="L1" s="17" t="s">
        <v>25</v>
      </c>
      <c r="M1" s="17" t="s">
        <v>26</v>
      </c>
      <c r="N1" s="17" t="s">
        <v>27</v>
      </c>
      <c r="O1" s="17" t="s">
        <v>28</v>
      </c>
      <c r="P1" s="17" t="s">
        <v>34</v>
      </c>
      <c r="Q1" s="17" t="s">
        <v>35</v>
      </c>
      <c r="R1" s="17" t="s">
        <v>29</v>
      </c>
      <c r="S1" s="17" t="s">
        <v>30</v>
      </c>
      <c r="T1" s="17" t="s">
        <v>31</v>
      </c>
      <c r="U1" s="17" t="s">
        <v>32</v>
      </c>
      <c r="V1" s="49" t="s">
        <v>271</v>
      </c>
    </row>
    <row r="2" spans="1:41">
      <c r="A2" s="14" t="s">
        <v>158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50"/>
      <c r="AO2" s="2"/>
    </row>
    <row r="3" spans="1:41">
      <c r="A3" t="s">
        <v>300</v>
      </c>
      <c r="B3" s="4">
        <f>'Crop Revenue (2022-2024)'!C8</f>
        <v>21.917611290507377</v>
      </c>
      <c r="C3" s="4">
        <f>'Crop Revenue (2022-2024)'!D8</f>
        <v>26.451023636045729</v>
      </c>
      <c r="D3" s="4">
        <f>'Crop Revenue (2022-2024)'!E8</f>
        <v>37.073482408886193</v>
      </c>
      <c r="E3" s="4">
        <f>'Crop Revenue (2022-2024)'!F8</f>
        <v>23.572409297801897</v>
      </c>
      <c r="F3" s="4">
        <f>'Crop Revenue (2022-2024)'!G8</f>
        <v>20.702853202755591</v>
      </c>
      <c r="G3" s="4">
        <f>'Crop Revenue (2022-2024)'!H8</f>
        <v>34.599151767036993</v>
      </c>
      <c r="H3" s="4">
        <f>'Crop Revenue (2022-2024)'!I8</f>
        <v>29.85978357616553</v>
      </c>
      <c r="I3" s="4">
        <f>'Crop Revenue (2022-2024)'!J8</f>
        <v>33.117890629421304</v>
      </c>
      <c r="J3" s="4">
        <f>'Crop Revenue (2022-2024)'!K8</f>
        <v>37.129080235630944</v>
      </c>
      <c r="K3" s="4">
        <f>'Crop Revenue (2022-2024)'!L8</f>
        <v>35.11613852763881</v>
      </c>
      <c r="L3" s="4">
        <f>'Crop Revenue (2022-2024)'!M8</f>
        <v>54.278492382929635</v>
      </c>
      <c r="M3" s="4">
        <f>'Crop Revenue (2022-2024)'!N8</f>
        <v>42.075525873594387</v>
      </c>
      <c r="N3" s="4">
        <f>'Crop Revenue (2022-2024)'!O8</f>
        <v>59.604039415389629</v>
      </c>
      <c r="O3" s="4">
        <f>'Crop Revenue (2022-2024)'!P8</f>
        <v>41.95020961221195</v>
      </c>
      <c r="P3" s="4">
        <f>'Crop Revenue (2022-2024)'!Q8</f>
        <v>49.330470439791569</v>
      </c>
      <c r="Q3" s="4">
        <f>'Crop Revenue (2022-2024)'!R8</f>
        <v>41.776816043003549</v>
      </c>
      <c r="R3" s="4">
        <f>'Crop Revenue (2022-2024)'!S8</f>
        <v>40.194205647683184</v>
      </c>
      <c r="S3" s="4">
        <f>'Crop Revenue (2022-2024)'!T8</f>
        <v>44.202749706746623</v>
      </c>
      <c r="T3" s="4">
        <f>'Crop Revenue (2022-2024)'!U8</f>
        <v>48.415425285923575</v>
      </c>
      <c r="U3" s="4">
        <f>'Crop Revenue (2022-2024)'!V8</f>
        <v>55.954892936139991</v>
      </c>
      <c r="V3" s="42">
        <f>SUM(B3:U3)</f>
        <v>777.32225191530461</v>
      </c>
    </row>
    <row r="4" spans="1:41">
      <c r="A4" t="s">
        <v>301</v>
      </c>
      <c r="B4" s="3">
        <f>'Crop Revenue (2022-2024)'!C20</f>
        <v>7.9533423368651457</v>
      </c>
      <c r="C4" s="3">
        <f>'Crop Revenue (2022-2024)'!D20</f>
        <v>13.578387352503304</v>
      </c>
      <c r="D4" s="3">
        <f>'Crop Revenue (2022-2024)'!E20</f>
        <v>14.422656404030784</v>
      </c>
      <c r="E4" s="3">
        <f>'Crop Revenue (2022-2024)'!F20</f>
        <v>11.94517756107758</v>
      </c>
      <c r="F4" s="3">
        <f>'Crop Revenue (2022-2024)'!G20</f>
        <v>12.66895384505696</v>
      </c>
      <c r="G4" s="3">
        <f>'Crop Revenue (2022-2024)'!H20</f>
        <v>10.223237551372391</v>
      </c>
      <c r="H4" s="3">
        <f>'Crop Revenue (2022-2024)'!I20</f>
        <v>8.5328551712631313</v>
      </c>
      <c r="I4" s="3">
        <f>'Crop Revenue (2022-2024)'!J20</f>
        <v>12.556452944744198</v>
      </c>
      <c r="J4" s="3">
        <f>'Crop Revenue (2022-2024)'!K20</f>
        <v>26.72644956527818</v>
      </c>
      <c r="K4" s="3">
        <f>'Crop Revenue (2022-2024)'!L20</f>
        <v>20.683014575399493</v>
      </c>
      <c r="L4" s="3">
        <f>'Crop Revenue (2022-2024)'!M20</f>
        <v>41.031060553333383</v>
      </c>
      <c r="M4" s="3">
        <f>'Crop Revenue (2022-2024)'!N20</f>
        <v>34.541173609247437</v>
      </c>
      <c r="N4" s="3">
        <f>'Crop Revenue (2022-2024)'!O20</f>
        <v>29.256343972452623</v>
      </c>
      <c r="O4" s="3">
        <f>'Crop Revenue (2022-2024)'!P20</f>
        <v>21.928517007462009</v>
      </c>
      <c r="P4" s="3">
        <f>'Crop Revenue (2022-2024)'!Q20</f>
        <v>38.721021696198285</v>
      </c>
      <c r="Q4" s="3">
        <f>'Crop Revenue (2022-2024)'!R20</f>
        <v>35.8566772187989</v>
      </c>
      <c r="R4" s="3">
        <f>'Crop Revenue (2022-2024)'!S20</f>
        <v>28.390922007793026</v>
      </c>
      <c r="S4" s="3">
        <f>'Crop Revenue (2022-2024)'!T20</f>
        <v>27.465350883217017</v>
      </c>
      <c r="T4" s="3">
        <f>'Crop Revenue (2022-2024)'!U20</f>
        <v>27.71165132252996</v>
      </c>
      <c r="U4" s="3">
        <f>'Crop Revenue (2022-2024)'!V20</f>
        <v>23.666620318150411</v>
      </c>
      <c r="V4" s="45">
        <f t="shared" ref="V4:V8" si="0">SUM(B4:U4)</f>
        <v>447.85986589677429</v>
      </c>
    </row>
    <row r="5" spans="1:41">
      <c r="A5" t="s">
        <v>302</v>
      </c>
      <c r="B5" s="3">
        <f>'Crop Revenue (2022-2024)'!C32</f>
        <v>1.787361414390634</v>
      </c>
      <c r="C5" s="3">
        <f>'Crop Revenue (2022-2024)'!D32</f>
        <v>5.8808776920123229</v>
      </c>
      <c r="D5" s="3">
        <f>'Crop Revenue (2022-2024)'!E32</f>
        <v>2.845553817406584</v>
      </c>
      <c r="E5" s="3">
        <f>'Crop Revenue (2022-2024)'!F32</f>
        <v>3.1878710834575985</v>
      </c>
      <c r="F5" s="3">
        <f>'Crop Revenue (2022-2024)'!G32</f>
        <v>6.2451298508394206</v>
      </c>
      <c r="G5" s="3">
        <f>'Crop Revenue (2022-2024)'!H32</f>
        <v>2.4965896141506962</v>
      </c>
      <c r="H5" s="3">
        <f>'Crop Revenue (2022-2024)'!I32</f>
        <v>6.3415104403100946</v>
      </c>
      <c r="I5" s="3">
        <f>'Crop Revenue (2022-2024)'!J32</f>
        <v>4.9958380031833416</v>
      </c>
      <c r="J5" s="3">
        <f>'Crop Revenue (2022-2024)'!K32</f>
        <v>2.4677796057283765</v>
      </c>
      <c r="K5" s="3">
        <f>'Crop Revenue (2022-2024)'!L32</f>
        <v>9.0982879628244184</v>
      </c>
      <c r="L5" s="3">
        <f>'Crop Revenue (2022-2024)'!M32</f>
        <v>10.138781655432167</v>
      </c>
      <c r="M5" s="3">
        <f>'Crop Revenue (2022-2024)'!N32</f>
        <v>1.4416115509174019</v>
      </c>
      <c r="N5" s="3">
        <f>'Crop Revenue (2022-2024)'!O32</f>
        <v>7.4040927981218028</v>
      </c>
      <c r="O5" s="3">
        <f>'Crop Revenue (2022-2024)'!P32</f>
        <v>8.5720092690271663</v>
      </c>
      <c r="P5" s="3">
        <f>'Crop Revenue (2022-2024)'!Q32</f>
        <v>5.6435473109920258</v>
      </c>
      <c r="Q5" s="3">
        <f>'Crop Revenue (2022-2024)'!R32</f>
        <v>10.717085033859806</v>
      </c>
      <c r="R5" s="3">
        <f>'Crop Revenue (2022-2024)'!S32</f>
        <v>0.96886550362388146</v>
      </c>
      <c r="S5" s="3">
        <f>'Crop Revenue (2022-2024)'!T32</f>
        <v>0.88592760058993059</v>
      </c>
      <c r="T5" s="3">
        <f>'Crop Revenue (2022-2024)'!U32</f>
        <v>7.0557536053792083</v>
      </c>
      <c r="U5" s="3">
        <f>'Crop Revenue (2022-2024)'!V32</f>
        <v>7.5918340513532003</v>
      </c>
      <c r="V5" s="45">
        <f t="shared" si="0"/>
        <v>105.76630786360009</v>
      </c>
    </row>
    <row r="6" spans="1:41">
      <c r="A6" t="s">
        <v>303</v>
      </c>
      <c r="B6" s="3">
        <f>'Crop Revenue (2022-2024)'!C44</f>
        <v>37.259939193862543</v>
      </c>
      <c r="C6" s="3">
        <f>'Crop Revenue (2022-2024)'!D44</f>
        <v>44.966740181277743</v>
      </c>
      <c r="D6" s="3">
        <f>'Crop Revenue (2022-2024)'!E44</f>
        <v>63.024920095106538</v>
      </c>
      <c r="E6" s="3">
        <f>'Crop Revenue (2022-2024)'!F44</f>
        <v>40.073095806263225</v>
      </c>
      <c r="F6" s="3">
        <f>'Crop Revenue (2022-2024)'!G44</f>
        <v>35.194850444684505</v>
      </c>
      <c r="G6" s="3">
        <f>'Crop Revenue (2022-2024)'!H44</f>
        <v>58.818558003962885</v>
      </c>
      <c r="H6" s="3">
        <f>'Crop Revenue (2022-2024)'!I44</f>
        <v>50.761632079481402</v>
      </c>
      <c r="I6" s="3">
        <f>'Crop Revenue (2022-2024)'!J44</f>
        <v>56.30041407001621</v>
      </c>
      <c r="J6" s="3">
        <f>'Crop Revenue (2022-2024)'!K44</f>
        <v>66.832344424135698</v>
      </c>
      <c r="K6" s="3">
        <f>'Crop Revenue (2022-2024)'!L44</f>
        <v>63.209049349749861</v>
      </c>
      <c r="L6" s="3">
        <f>'Crop Revenue (2022-2024)'!M44</f>
        <v>97.701286289273341</v>
      </c>
      <c r="M6" s="3">
        <f>'Crop Revenue (2022-2024)'!N44</f>
        <v>75.735946572469899</v>
      </c>
      <c r="N6" s="3">
        <f>'Crop Revenue (2022-2024)'!O44</f>
        <v>107.28727094770133</v>
      </c>
      <c r="O6" s="3">
        <f>'Crop Revenue (2022-2024)'!P44</f>
        <v>75.510377301981507</v>
      </c>
      <c r="P6" s="3">
        <f>'Crop Revenue (2022-2024)'!Q44</f>
        <v>88.794846791624821</v>
      </c>
      <c r="Q6" s="3">
        <f>'Crop Revenue (2022-2024)'!R44</f>
        <v>75.198268877406392</v>
      </c>
      <c r="R6" s="3">
        <f>'Crop Revenue (2022-2024)'!S44</f>
        <v>72.349570165829732</v>
      </c>
      <c r="S6" s="3">
        <f>'Crop Revenue (2022-2024)'!T44</f>
        <v>79.564949472143923</v>
      </c>
      <c r="T6" s="3">
        <f>'Crop Revenue (2022-2024)'!U44</f>
        <v>87.147765514662439</v>
      </c>
      <c r="U6" s="3">
        <f>'Crop Revenue (2022-2024)'!V44</f>
        <v>100.71880728505198</v>
      </c>
      <c r="V6" s="45">
        <f t="shared" si="0"/>
        <v>1376.450632866686</v>
      </c>
      <c r="X6" s="4">
        <f>6666.69-1754.04</f>
        <v>4912.6499999999996</v>
      </c>
    </row>
    <row r="7" spans="1:41">
      <c r="A7" t="s">
        <v>304</v>
      </c>
      <c r="B7" s="3">
        <f>'Crop Revenue (2022-2024)'!C56</f>
        <v>13.520681972670749</v>
      </c>
      <c r="C7" s="3">
        <f>'Crop Revenue (2022-2024)'!D56</f>
        <v>23.083258499255617</v>
      </c>
      <c r="D7" s="3">
        <f>'Crop Revenue (2022-2024)'!E56</f>
        <v>24.518515886852335</v>
      </c>
      <c r="E7" s="3">
        <f>'Crop Revenue (2022-2024)'!F56</f>
        <v>20.306801853831889</v>
      </c>
      <c r="F7" s="3">
        <f>'Crop Revenue (2022-2024)'!G56</f>
        <v>21.537221536596835</v>
      </c>
      <c r="G7" s="3">
        <f>'Crop Revenue (2022-2024)'!H56</f>
        <v>17.379503837333068</v>
      </c>
      <c r="H7" s="3">
        <f>'Crop Revenue (2022-2024)'!I56</f>
        <v>14.505853791147326</v>
      </c>
      <c r="I7" s="3">
        <f>'Crop Revenue (2022-2024)'!J56</f>
        <v>21.345970006065141</v>
      </c>
      <c r="J7" s="3">
        <f>'Crop Revenue (2022-2024)'!K56</f>
        <v>48.10760921750073</v>
      </c>
      <c r="K7" s="3">
        <f>'Crop Revenue (2022-2024)'!L56</f>
        <v>37.229426235719089</v>
      </c>
      <c r="L7" s="3">
        <f>'Crop Revenue (2022-2024)'!M56</f>
        <v>73.855908996000096</v>
      </c>
      <c r="M7" s="3">
        <f>'Crop Revenue (2022-2024)'!N56</f>
        <v>62.174112496645392</v>
      </c>
      <c r="N7" s="3">
        <f>'Crop Revenue (2022-2024)'!O56</f>
        <v>52.661419150414723</v>
      </c>
      <c r="O7" s="3">
        <f>'Crop Revenue (2022-2024)'!P56</f>
        <v>39.471330613431618</v>
      </c>
      <c r="P7" s="3">
        <f>'Crop Revenue (2022-2024)'!Q56</f>
        <v>69.697839053156912</v>
      </c>
      <c r="Q7" s="3">
        <f>'Crop Revenue (2022-2024)'!R56</f>
        <v>64.542018993838013</v>
      </c>
      <c r="R7" s="3">
        <f>'Crop Revenue (2022-2024)'!S56</f>
        <v>51.103659614027457</v>
      </c>
      <c r="S7" s="3">
        <f>'Crop Revenue (2022-2024)'!T56</f>
        <v>49.437631589790634</v>
      </c>
      <c r="T7" s="3">
        <f>'Crop Revenue (2022-2024)'!U56</f>
        <v>49.880972380553928</v>
      </c>
      <c r="U7" s="3">
        <f>'Crop Revenue (2022-2024)'!V56</f>
        <v>42.599916572670743</v>
      </c>
      <c r="V7" s="45">
        <f t="shared" si="0"/>
        <v>796.9596522975022</v>
      </c>
      <c r="X7" s="4">
        <v>1754.04</v>
      </c>
    </row>
    <row r="8" spans="1:41">
      <c r="A8" t="s">
        <v>305</v>
      </c>
      <c r="B8" s="3">
        <f>'Crop Revenue (2022-2024)'!C68</f>
        <v>3.0385144044640779</v>
      </c>
      <c r="C8" s="3">
        <f>'Crop Revenue (2022-2024)'!D68</f>
        <v>9.9974920764209489</v>
      </c>
      <c r="D8" s="3">
        <f>'Crop Revenue (2022-2024)'!E68</f>
        <v>4.8374414895911935</v>
      </c>
      <c r="E8" s="3">
        <f>'Crop Revenue (2022-2024)'!F68</f>
        <v>5.4193808418779179</v>
      </c>
      <c r="F8" s="3">
        <f>'Crop Revenue (2022-2024)'!G68</f>
        <v>10.616720746427017</v>
      </c>
      <c r="G8" s="3">
        <f>'Crop Revenue (2022-2024)'!H68</f>
        <v>4.244202344056184</v>
      </c>
      <c r="H8" s="3">
        <f>'Crop Revenue (2022-2024)'!I68</f>
        <v>10.780567748527162</v>
      </c>
      <c r="I8" s="3">
        <f>'Crop Revenue (2022-2024)'!J68</f>
        <v>8.4929246054116803</v>
      </c>
      <c r="J8" s="3">
        <f>'Crop Revenue (2022-2024)'!K68</f>
        <v>4.442003290311078</v>
      </c>
      <c r="K8" s="3">
        <f>'Crop Revenue (2022-2024)'!L68</f>
        <v>16.376918333083957</v>
      </c>
      <c r="L8" s="3">
        <f>'Crop Revenue (2022-2024)'!M68</f>
        <v>18.249806979777901</v>
      </c>
      <c r="M8" s="3">
        <f>'Crop Revenue (2022-2024)'!N68</f>
        <v>2.5949007916513236</v>
      </c>
      <c r="N8" s="3">
        <f>'Crop Revenue (2022-2024)'!O68</f>
        <v>13.327367036619245</v>
      </c>
      <c r="O8" s="3">
        <f>'Crop Revenue (2022-2024)'!P68</f>
        <v>15.429616684248899</v>
      </c>
      <c r="P8" s="3">
        <f>'Crop Revenue (2022-2024)'!Q68</f>
        <v>10.158385159785647</v>
      </c>
      <c r="Q8" s="3">
        <f>'Crop Revenue (2022-2024)'!R68</f>
        <v>19.290753060947651</v>
      </c>
      <c r="R8" s="3">
        <f>'Crop Revenue (2022-2024)'!S68</f>
        <v>1.7439579065229869</v>
      </c>
      <c r="S8" s="3">
        <f>'Crop Revenue (2022-2024)'!T68</f>
        <v>1.594669681061875</v>
      </c>
      <c r="T8" s="3">
        <f>'Crop Revenue (2022-2024)'!U68</f>
        <v>12.700356489682576</v>
      </c>
      <c r="U8" s="3">
        <f>'Crop Revenue (2022-2024)'!V68</f>
        <v>13.665301292435762</v>
      </c>
      <c r="V8" s="45">
        <f t="shared" si="0"/>
        <v>187.0012809629051</v>
      </c>
      <c r="X8" s="22">
        <f>X7/X6</f>
        <v>0.35704558639430861</v>
      </c>
    </row>
    <row r="9" spans="1:41">
      <c r="A9" s="13" t="s">
        <v>157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51">
        <f>SUM(B9:U9)</f>
        <v>0</v>
      </c>
      <c r="X9" s="4"/>
    </row>
    <row r="10" spans="1:41">
      <c r="A10" s="37" t="s">
        <v>348</v>
      </c>
      <c r="B10" s="38">
        <f>SUM(B3:B5,B9)</f>
        <v>31.658315041763156</v>
      </c>
      <c r="C10" s="38">
        <f t="shared" ref="C10:U10" si="1">SUM(C3:C5,C9)</f>
        <v>45.910288680561351</v>
      </c>
      <c r="D10" s="38">
        <f t="shared" si="1"/>
        <v>54.341692630323557</v>
      </c>
      <c r="E10" s="38">
        <f t="shared" si="1"/>
        <v>38.705457942337077</v>
      </c>
      <c r="F10" s="38">
        <f t="shared" si="1"/>
        <v>39.616936898651971</v>
      </c>
      <c r="G10" s="38">
        <f t="shared" si="1"/>
        <v>47.318978932560078</v>
      </c>
      <c r="H10" s="38">
        <f t="shared" si="1"/>
        <v>44.734149187738758</v>
      </c>
      <c r="I10" s="38">
        <f t="shared" si="1"/>
        <v>50.670181577348849</v>
      </c>
      <c r="J10" s="38">
        <f t="shared" si="1"/>
        <v>66.323309406637506</v>
      </c>
      <c r="K10" s="38">
        <f t="shared" si="1"/>
        <v>64.897441065862722</v>
      </c>
      <c r="L10" s="38">
        <f t="shared" si="1"/>
        <v>105.44833459169519</v>
      </c>
      <c r="M10" s="38">
        <f t="shared" si="1"/>
        <v>78.058311033759225</v>
      </c>
      <c r="N10" s="38">
        <f t="shared" si="1"/>
        <v>96.264476185964057</v>
      </c>
      <c r="O10" s="38">
        <f t="shared" si="1"/>
        <v>72.450735888701118</v>
      </c>
      <c r="P10" s="38">
        <f t="shared" si="1"/>
        <v>93.69503944698188</v>
      </c>
      <c r="Q10" s="38">
        <f t="shared" si="1"/>
        <v>88.350578295662245</v>
      </c>
      <c r="R10" s="38">
        <f t="shared" si="1"/>
        <v>69.553993159100102</v>
      </c>
      <c r="S10" s="38">
        <f t="shared" si="1"/>
        <v>72.554028190553581</v>
      </c>
      <c r="T10" s="38">
        <f t="shared" si="1"/>
        <v>83.182830213832744</v>
      </c>
      <c r="U10" s="38">
        <f t="shared" si="1"/>
        <v>87.213347305643609</v>
      </c>
      <c r="V10" s="52">
        <f>SUM(B10:U10)</f>
        <v>1330.9484256756789</v>
      </c>
      <c r="X10" s="4"/>
    </row>
    <row r="11" spans="1:41">
      <c r="A11" s="39" t="s">
        <v>349</v>
      </c>
      <c r="B11" s="40">
        <f>SUM(B6:B9)</f>
        <v>53.819135570997375</v>
      </c>
      <c r="C11" s="40">
        <f t="shared" ref="C11:U11" si="2">SUM(C6:C9)</f>
        <v>78.047490756954318</v>
      </c>
      <c r="D11" s="40">
        <f t="shared" si="2"/>
        <v>92.380877471550079</v>
      </c>
      <c r="E11" s="40">
        <f t="shared" si="2"/>
        <v>65.799278501973035</v>
      </c>
      <c r="F11" s="40">
        <f t="shared" si="2"/>
        <v>67.348792727708357</v>
      </c>
      <c r="G11" s="40">
        <f t="shared" si="2"/>
        <v>80.442264185352144</v>
      </c>
      <c r="H11" s="40">
        <f t="shared" si="2"/>
        <v>76.048053619155894</v>
      </c>
      <c r="I11" s="40">
        <f t="shared" si="2"/>
        <v>86.13930868149302</v>
      </c>
      <c r="J11" s="40">
        <f t="shared" si="2"/>
        <v>119.38195693194751</v>
      </c>
      <c r="K11" s="40">
        <f t="shared" si="2"/>
        <v>116.8153939185529</v>
      </c>
      <c r="L11" s="40">
        <f t="shared" si="2"/>
        <v>189.80700226505135</v>
      </c>
      <c r="M11" s="40">
        <f t="shared" si="2"/>
        <v>140.5049598607666</v>
      </c>
      <c r="N11" s="40">
        <f t="shared" si="2"/>
        <v>173.27605713473531</v>
      </c>
      <c r="O11" s="40">
        <f t="shared" si="2"/>
        <v>130.41132459966201</v>
      </c>
      <c r="P11" s="40">
        <f t="shared" si="2"/>
        <v>168.65107100456737</v>
      </c>
      <c r="Q11" s="40">
        <f t="shared" si="2"/>
        <v>159.03104093219204</v>
      </c>
      <c r="R11" s="40">
        <f t="shared" si="2"/>
        <v>125.19718768638019</v>
      </c>
      <c r="S11" s="40">
        <f t="shared" si="2"/>
        <v>130.59725074299644</v>
      </c>
      <c r="T11" s="40">
        <f t="shared" si="2"/>
        <v>149.72909438489893</v>
      </c>
      <c r="U11" s="40">
        <f t="shared" si="2"/>
        <v>156.98402515015849</v>
      </c>
      <c r="V11" s="52">
        <f>SUM(B11:U11)</f>
        <v>2360.4115661270939</v>
      </c>
      <c r="X11" s="4"/>
    </row>
    <row r="12" spans="1:41">
      <c r="A12" s="39" t="s">
        <v>350</v>
      </c>
      <c r="B12" s="38">
        <f>(2/3)*B10</f>
        <v>21.105543361175435</v>
      </c>
      <c r="C12" s="38">
        <f t="shared" ref="C12:U12" si="3">(2/3)*C10</f>
        <v>30.606859120374232</v>
      </c>
      <c r="D12" s="38">
        <f t="shared" si="3"/>
        <v>36.227795086882367</v>
      </c>
      <c r="E12" s="38">
        <f t="shared" si="3"/>
        <v>25.803638628224718</v>
      </c>
      <c r="F12" s="38">
        <f t="shared" si="3"/>
        <v>26.411291265767979</v>
      </c>
      <c r="G12" s="38">
        <f t="shared" si="3"/>
        <v>31.545985955040052</v>
      </c>
      <c r="H12" s="38">
        <f t="shared" si="3"/>
        <v>29.82276612515917</v>
      </c>
      <c r="I12" s="38">
        <f t="shared" si="3"/>
        <v>33.780121051565899</v>
      </c>
      <c r="J12" s="38">
        <f t="shared" si="3"/>
        <v>44.215539604425004</v>
      </c>
      <c r="K12" s="38">
        <f t="shared" si="3"/>
        <v>43.264960710575146</v>
      </c>
      <c r="L12" s="38">
        <f t="shared" si="3"/>
        <v>70.298889727796791</v>
      </c>
      <c r="M12" s="38">
        <f t="shared" si="3"/>
        <v>52.03887402250615</v>
      </c>
      <c r="N12" s="38">
        <f t="shared" si="3"/>
        <v>64.176317457309366</v>
      </c>
      <c r="O12" s="38">
        <f t="shared" si="3"/>
        <v>48.300490592467412</v>
      </c>
      <c r="P12" s="38">
        <f t="shared" si="3"/>
        <v>62.463359631321254</v>
      </c>
      <c r="Q12" s="38">
        <f t="shared" si="3"/>
        <v>58.900385530441497</v>
      </c>
      <c r="R12" s="38">
        <f t="shared" si="3"/>
        <v>46.369328772733397</v>
      </c>
      <c r="S12" s="38">
        <f t="shared" si="3"/>
        <v>48.369352127035718</v>
      </c>
      <c r="T12" s="38">
        <f t="shared" si="3"/>
        <v>55.455220142555163</v>
      </c>
      <c r="U12" s="63">
        <f t="shared" si="3"/>
        <v>58.142231537095739</v>
      </c>
      <c r="V12" s="52">
        <f>SUM(B12:U12)</f>
        <v>887.29895045045259</v>
      </c>
      <c r="X12" s="4"/>
    </row>
    <row r="13" spans="1:41">
      <c r="A13" s="37" t="s">
        <v>351</v>
      </c>
      <c r="B13" s="40">
        <f>0.8*B11</f>
        <v>43.055308456797903</v>
      </c>
      <c r="C13" s="40">
        <f t="shared" ref="C13:U13" si="4">0.8*C11</f>
        <v>62.437992605563458</v>
      </c>
      <c r="D13" s="40">
        <f t="shared" si="4"/>
        <v>73.904701977240066</v>
      </c>
      <c r="E13" s="40">
        <f t="shared" si="4"/>
        <v>52.639422801578434</v>
      </c>
      <c r="F13" s="40">
        <f t="shared" si="4"/>
        <v>53.879034182166691</v>
      </c>
      <c r="G13" s="40">
        <f t="shared" si="4"/>
        <v>64.353811348281724</v>
      </c>
      <c r="H13" s="40">
        <f t="shared" si="4"/>
        <v>60.838442895324718</v>
      </c>
      <c r="I13" s="40">
        <f t="shared" si="4"/>
        <v>68.911446945194413</v>
      </c>
      <c r="J13" s="40">
        <f t="shared" si="4"/>
        <v>95.505565545558014</v>
      </c>
      <c r="K13" s="40">
        <f t="shared" si="4"/>
        <v>93.452315134842323</v>
      </c>
      <c r="L13" s="40">
        <f t="shared" si="4"/>
        <v>151.84560181204108</v>
      </c>
      <c r="M13" s="40">
        <f t="shared" si="4"/>
        <v>112.40396788861329</v>
      </c>
      <c r="N13" s="40">
        <f t="shared" si="4"/>
        <v>138.62084570778825</v>
      </c>
      <c r="O13" s="40">
        <f t="shared" si="4"/>
        <v>104.32905967972961</v>
      </c>
      <c r="P13" s="40">
        <f t="shared" si="4"/>
        <v>134.92085680365389</v>
      </c>
      <c r="Q13" s="40">
        <f t="shared" si="4"/>
        <v>127.22483274575364</v>
      </c>
      <c r="R13" s="40">
        <f t="shared" si="4"/>
        <v>100.15775014910416</v>
      </c>
      <c r="S13" s="40">
        <f t="shared" si="4"/>
        <v>104.47780059439715</v>
      </c>
      <c r="T13" s="40">
        <f t="shared" si="4"/>
        <v>119.78327550791914</v>
      </c>
      <c r="U13" s="66">
        <f t="shared" si="4"/>
        <v>125.5872201201268</v>
      </c>
      <c r="V13" s="52">
        <f>SUM(B13:U13)</f>
        <v>1888.3292529016751</v>
      </c>
      <c r="X13" s="4"/>
    </row>
    <row r="15" spans="1:41">
      <c r="A15" s="35" t="s">
        <v>156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41"/>
    </row>
    <row r="16" spans="1:41">
      <c r="A16" s="5" t="s">
        <v>161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43"/>
    </row>
    <row r="17" spans="1:36">
      <c r="A17" t="s">
        <v>291</v>
      </c>
      <c r="B17" s="24">
        <f>'Land Prep Costs (2022-2024)'!$I$11</f>
        <v>5.865885416666667</v>
      </c>
      <c r="C17" s="24">
        <f>'Land Prep Costs (2022-2024)'!$I$11</f>
        <v>5.865885416666667</v>
      </c>
      <c r="D17" s="24">
        <f>'Land Prep Costs (2022-2024)'!$I$11</f>
        <v>5.865885416666667</v>
      </c>
      <c r="E17" s="24">
        <f>'Land Prep Costs (2022-2024)'!$I$11</f>
        <v>5.865885416666667</v>
      </c>
      <c r="F17" s="24">
        <f>'Land Prep Costs (2022-2024)'!$I$11</f>
        <v>5.865885416666667</v>
      </c>
      <c r="G17" s="24">
        <f>'Land Prep Costs (2022-2024)'!$I$11</f>
        <v>5.865885416666667</v>
      </c>
      <c r="H17" s="24">
        <f>'Land Prep Costs (2022-2024)'!$I$11</f>
        <v>5.865885416666667</v>
      </c>
      <c r="I17" s="24">
        <f>'Land Prep Costs (2022-2024)'!$I$11</f>
        <v>5.865885416666667</v>
      </c>
      <c r="J17" s="24">
        <f>'Land Prep Costs (2022-2024)'!$I$11</f>
        <v>5.865885416666667</v>
      </c>
      <c r="K17" s="24">
        <f>'Land Prep Costs (2022-2024)'!$I$11</f>
        <v>5.865885416666667</v>
      </c>
      <c r="L17" s="24">
        <f>'Land Prep Costs (2022-2024)'!$I$11</f>
        <v>5.865885416666667</v>
      </c>
      <c r="M17" s="24">
        <f>'Land Prep Costs (2022-2024)'!$I$11</f>
        <v>5.865885416666667</v>
      </c>
      <c r="N17" s="24">
        <f>'Land Prep Costs (2022-2024)'!$I$11</f>
        <v>5.865885416666667</v>
      </c>
      <c r="O17" s="24">
        <f>'Land Prep Costs (2022-2024)'!$I$11</f>
        <v>5.865885416666667</v>
      </c>
      <c r="P17" s="24">
        <f>'Land Prep Costs (2022-2024)'!$I$11</f>
        <v>5.865885416666667</v>
      </c>
      <c r="Q17" s="24">
        <f>'Land Prep Costs (2022-2024)'!$I$11</f>
        <v>5.865885416666667</v>
      </c>
      <c r="R17" s="24">
        <v>0</v>
      </c>
      <c r="S17" s="24">
        <v>0</v>
      </c>
      <c r="T17" s="24">
        <v>0</v>
      </c>
      <c r="U17" s="24">
        <v>0</v>
      </c>
      <c r="V17" s="44">
        <f>SUM(B17:U17)</f>
        <v>93.854166666666686</v>
      </c>
      <c r="X17" t="s">
        <v>235</v>
      </c>
    </row>
    <row r="18" spans="1:36">
      <c r="A18" t="s">
        <v>292</v>
      </c>
      <c r="B18" s="4">
        <f>'Land Prep Costs (2022-2024)'!$I$31</f>
        <v>5.1907552083333339</v>
      </c>
      <c r="C18" s="4">
        <f>'Land Prep Costs (2022-2024)'!$I$31</f>
        <v>5.1907552083333339</v>
      </c>
      <c r="D18" s="4">
        <f>'Land Prep Costs (2022-2024)'!$I$31</f>
        <v>5.1907552083333339</v>
      </c>
      <c r="E18" s="4">
        <f>'Land Prep Costs (2022-2024)'!$I$31</f>
        <v>5.1907552083333339</v>
      </c>
      <c r="F18" s="4">
        <f>'Land Prep Costs (2022-2024)'!$I$31</f>
        <v>5.1907552083333339</v>
      </c>
      <c r="G18" s="4">
        <f>'Land Prep Costs (2022-2024)'!$I$31</f>
        <v>5.1907552083333339</v>
      </c>
      <c r="H18" s="4">
        <f>'Land Prep Costs (2022-2024)'!$I$31</f>
        <v>5.1907552083333339</v>
      </c>
      <c r="I18" s="4">
        <f>'Land Prep Costs (2022-2024)'!$I$31</f>
        <v>5.1907552083333339</v>
      </c>
      <c r="J18" s="4">
        <f>'Land Prep Costs (2022-2024)'!$I$32</f>
        <v>6.586588541666667</v>
      </c>
      <c r="K18" s="4">
        <f>'Land Prep Costs (2022-2024)'!$I$32</f>
        <v>6.586588541666667</v>
      </c>
      <c r="L18" s="4">
        <f>'Land Prep Costs (2022-2024)'!$I$32</f>
        <v>6.586588541666667</v>
      </c>
      <c r="M18" s="4">
        <f>'Land Prep Costs (2022-2024)'!$I$32</f>
        <v>6.586588541666667</v>
      </c>
      <c r="N18" s="4">
        <f>'Land Prep Costs (2022-2024)'!$I$33</f>
        <v>7.633463541666667</v>
      </c>
      <c r="O18" s="4">
        <f>'Land Prep Costs (2022-2024)'!$I$33</f>
        <v>7.633463541666667</v>
      </c>
      <c r="P18" s="4">
        <f>'Land Prep Costs (2022-2024)'!$I$33</f>
        <v>7.633463541666667</v>
      </c>
      <c r="Q18" s="4">
        <f>'Land Prep Costs (2022-2024)'!$I$33</f>
        <v>7.633463541666667</v>
      </c>
      <c r="R18" s="4">
        <f>'Land Prep Costs (2022-2024)'!$I$34</f>
        <v>13.522135416666668</v>
      </c>
      <c r="S18" s="4">
        <f>'Land Prep Costs (2022-2024)'!$I$34</f>
        <v>13.522135416666668</v>
      </c>
      <c r="T18" s="4">
        <f>'Land Prep Costs (2022-2024)'!$I$34</f>
        <v>13.522135416666668</v>
      </c>
      <c r="U18" s="4">
        <f>'Land Prep Costs (2022-2024)'!$I$34</f>
        <v>13.522135416666668</v>
      </c>
      <c r="V18" s="42">
        <f t="shared" ref="V18:V19" si="5">SUM(B18:U18)</f>
        <v>152.49479166666669</v>
      </c>
      <c r="W18" s="4"/>
      <c r="X18" t="s">
        <v>236</v>
      </c>
    </row>
    <row r="19" spans="1:36">
      <c r="A19" t="s">
        <v>240</v>
      </c>
      <c r="B19" s="4">
        <f>'Costs (2022-2024)'!$I$16</f>
        <v>1</v>
      </c>
      <c r="C19" s="4">
        <f>'Costs (2022-2024)'!$I$16</f>
        <v>1</v>
      </c>
      <c r="D19" s="4">
        <f>'Costs (2022-2024)'!$I$16</f>
        <v>1</v>
      </c>
      <c r="E19" s="4">
        <f>'Costs (2022-2024)'!$I$16</f>
        <v>1</v>
      </c>
      <c r="F19" s="4">
        <f>'Costs (2022-2024)'!$I$16</f>
        <v>1</v>
      </c>
      <c r="G19" s="4">
        <f>'Costs (2022-2024)'!$I$16</f>
        <v>1</v>
      </c>
      <c r="H19" s="4">
        <f>'Costs (2022-2024)'!$I$16</f>
        <v>1</v>
      </c>
      <c r="I19" s="4">
        <f>'Costs (2022-2024)'!$I$16</f>
        <v>1</v>
      </c>
      <c r="J19" s="4">
        <f>'Costs (2022-2024)'!$I$16</f>
        <v>1</v>
      </c>
      <c r="K19" s="4">
        <f>'Costs (2022-2024)'!$I$16</f>
        <v>1</v>
      </c>
      <c r="L19" s="4">
        <f>'Costs (2022-2024)'!$I$16</f>
        <v>1</v>
      </c>
      <c r="M19" s="4">
        <f>'Costs (2022-2024)'!$I$16</f>
        <v>1</v>
      </c>
      <c r="N19" s="4">
        <f>'Costs (2022-2024)'!$I$16</f>
        <v>1</v>
      </c>
      <c r="O19" s="4">
        <f>'Costs (2022-2024)'!$I$16</f>
        <v>1</v>
      </c>
      <c r="P19" s="4">
        <f>'Costs (2022-2024)'!$I$16</f>
        <v>1</v>
      </c>
      <c r="Q19" s="4">
        <f>'Costs (2022-2024)'!$I$16</f>
        <v>1</v>
      </c>
      <c r="R19" s="4">
        <f>'Costs (2022-2024)'!$I$16</f>
        <v>1</v>
      </c>
      <c r="S19" s="4">
        <f>'Costs (2022-2024)'!$I$16</f>
        <v>1</v>
      </c>
      <c r="T19" s="4">
        <f>'Costs (2022-2024)'!$I$16</f>
        <v>1</v>
      </c>
      <c r="U19" s="4">
        <f>'Costs (2022-2024)'!$I$16</f>
        <v>1</v>
      </c>
      <c r="V19" s="42">
        <f t="shared" si="5"/>
        <v>20</v>
      </c>
      <c r="X19" t="s">
        <v>237</v>
      </c>
    </row>
    <row r="20" spans="1:36">
      <c r="A20" s="5" t="s">
        <v>162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43"/>
      <c r="X20" t="s">
        <v>238</v>
      </c>
    </row>
    <row r="21" spans="1:36">
      <c r="A21" t="s">
        <v>8</v>
      </c>
      <c r="B21" s="3">
        <f>'Costs (2022-2024)'!$I$9</f>
        <v>1.67875</v>
      </c>
      <c r="C21" s="3">
        <f>'Costs (2022-2024)'!$I$9</f>
        <v>1.67875</v>
      </c>
      <c r="D21" s="3">
        <f>'Costs (2022-2024)'!$I$9</f>
        <v>1.67875</v>
      </c>
      <c r="E21" s="3">
        <f>'Costs (2022-2024)'!$I$9</f>
        <v>1.67875</v>
      </c>
      <c r="F21" s="3">
        <f>'Costs (2022-2024)'!$I$9</f>
        <v>1.67875</v>
      </c>
      <c r="G21" s="3">
        <f>'Costs (2022-2024)'!$I$9</f>
        <v>1.67875</v>
      </c>
      <c r="H21" s="3">
        <f>'Costs (2022-2024)'!$I$9</f>
        <v>1.67875</v>
      </c>
      <c r="I21" s="3">
        <f>'Costs (2022-2024)'!$I$9</f>
        <v>1.67875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45">
        <f>SUM(B21:U21)</f>
        <v>13.430000000000003</v>
      </c>
      <c r="X21" t="s">
        <v>239</v>
      </c>
    </row>
    <row r="22" spans="1:36">
      <c r="A22" t="s">
        <v>11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f>'Costs (2022-2024)'!$I$13</f>
        <v>29.5</v>
      </c>
      <c r="K22" s="3">
        <f>'Costs (2022-2024)'!$I$13</f>
        <v>29.5</v>
      </c>
      <c r="L22" s="3">
        <f>'Costs (2022-2024)'!$I$13</f>
        <v>29.5</v>
      </c>
      <c r="M22" s="3">
        <f>'Costs (2022-2024)'!$I$13</f>
        <v>29.5</v>
      </c>
      <c r="N22" s="3">
        <f>'Costs (2022-2024)'!$I$13</f>
        <v>29.5</v>
      </c>
      <c r="O22" s="3">
        <f>'Costs (2022-2024)'!$I$13</f>
        <v>29.5</v>
      </c>
      <c r="P22" s="3">
        <f>'Costs (2022-2024)'!$I$13</f>
        <v>29.5</v>
      </c>
      <c r="Q22" s="3">
        <f>'Costs (2022-2024)'!$I$13</f>
        <v>29.5</v>
      </c>
      <c r="R22" s="3">
        <f>'Costs (2022-2024)'!$I$13</f>
        <v>29.5</v>
      </c>
      <c r="S22" s="3">
        <f>'Costs (2022-2024)'!$I$13</f>
        <v>29.5</v>
      </c>
      <c r="T22" s="3">
        <f>'Costs (2022-2024)'!$I$13</f>
        <v>29.5</v>
      </c>
      <c r="U22" s="3">
        <f>'Costs (2022-2024)'!$I$13</f>
        <v>29.5</v>
      </c>
      <c r="V22" s="45">
        <f>SUM(B22:U22)</f>
        <v>354</v>
      </c>
    </row>
    <row r="23" spans="1:36">
      <c r="A23" s="5" t="s">
        <v>163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43"/>
    </row>
    <row r="24" spans="1:36">
      <c r="A24" t="s">
        <v>160</v>
      </c>
      <c r="B24" s="3">
        <v>0</v>
      </c>
      <c r="C24" s="3">
        <v>0</v>
      </c>
      <c r="D24" s="3">
        <v>0</v>
      </c>
      <c r="E24" s="3">
        <v>0</v>
      </c>
      <c r="F24" s="3">
        <f>'Costs (2022-2024)'!$I$7</f>
        <v>2.8849999999999998</v>
      </c>
      <c r="G24" s="3">
        <f>'Costs (2022-2024)'!$I$7</f>
        <v>2.8849999999999998</v>
      </c>
      <c r="H24" s="3">
        <f>'Costs (2022-2024)'!$I$7</f>
        <v>2.8849999999999998</v>
      </c>
      <c r="I24" s="3">
        <f>'Costs (2022-2024)'!$I$7</f>
        <v>2.8849999999999998</v>
      </c>
      <c r="J24" s="3">
        <f>'Costs (2022-2024)'!$I$7</f>
        <v>2.8849999999999998</v>
      </c>
      <c r="K24" s="3">
        <f>'Costs (2022-2024)'!$I$7</f>
        <v>2.8849999999999998</v>
      </c>
      <c r="L24" s="3">
        <f>'Costs (2022-2024)'!$I$7</f>
        <v>2.8849999999999998</v>
      </c>
      <c r="M24" s="3">
        <f>'Costs (2022-2024)'!$I$7</f>
        <v>2.8849999999999998</v>
      </c>
      <c r="N24" s="3">
        <f>'Costs (2022-2024)'!$I$7</f>
        <v>2.8849999999999998</v>
      </c>
      <c r="O24" s="3">
        <f>'Costs (2022-2024)'!$I$7</f>
        <v>2.8849999999999998</v>
      </c>
      <c r="P24" s="3">
        <f>'Costs (2022-2024)'!$I$7</f>
        <v>2.8849999999999998</v>
      </c>
      <c r="Q24" s="3">
        <f>'Costs (2022-2024)'!$I$7</f>
        <v>2.8849999999999998</v>
      </c>
      <c r="R24" s="3">
        <f>'Costs (2022-2024)'!$I$7</f>
        <v>2.8849999999999998</v>
      </c>
      <c r="S24" s="3">
        <f>'Costs (2022-2024)'!$I$7</f>
        <v>2.8849999999999998</v>
      </c>
      <c r="T24" s="3">
        <f>'Costs (2022-2024)'!$I$7</f>
        <v>2.8849999999999998</v>
      </c>
      <c r="U24" s="3">
        <f>'Costs (2022-2024)'!$I$7</f>
        <v>2.8849999999999998</v>
      </c>
      <c r="V24" s="45">
        <f>SUM(B24:U24)</f>
        <v>46.159999999999982</v>
      </c>
    </row>
    <row r="25" spans="1:36">
      <c r="A25" s="5" t="s">
        <v>164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46"/>
    </row>
    <row r="26" spans="1:36">
      <c r="A26" t="s">
        <v>186</v>
      </c>
      <c r="B26" s="4">
        <f>'Labour Costs (2022-2024)'!C6</f>
        <v>0</v>
      </c>
      <c r="C26" s="4">
        <f>'Labour Costs (2022-2024)'!D6</f>
        <v>0</v>
      </c>
      <c r="D26" s="4">
        <f>'Labour Costs (2022-2024)'!E6</f>
        <v>0</v>
      </c>
      <c r="E26" s="4">
        <f>'Labour Costs (2022-2024)'!F6</f>
        <v>0</v>
      </c>
      <c r="F26" s="4">
        <f>'Labour Costs (2022-2024)'!G6</f>
        <v>0.41875000000000001</v>
      </c>
      <c r="G26" s="4">
        <f>'Labour Costs (2022-2024)'!H6</f>
        <v>0.41875000000000001</v>
      </c>
      <c r="H26" s="4">
        <f>'Labour Costs (2022-2024)'!I6</f>
        <v>0.41875000000000001</v>
      </c>
      <c r="I26" s="4">
        <f>'Labour Costs (2022-2024)'!J6</f>
        <v>0.41875000000000001</v>
      </c>
      <c r="J26" s="4">
        <f>'Labour Costs (2022-2024)'!K6</f>
        <v>0.41875000000000001</v>
      </c>
      <c r="K26" s="4">
        <f>'Labour Costs (2022-2024)'!L6</f>
        <v>0.41875000000000001</v>
      </c>
      <c r="L26" s="4">
        <f>'Labour Costs (2022-2024)'!M6</f>
        <v>0.41875000000000001</v>
      </c>
      <c r="M26" s="4">
        <f>'Labour Costs (2022-2024)'!N6</f>
        <v>0.41875000000000001</v>
      </c>
      <c r="N26" s="4">
        <f>'Labour Costs (2022-2024)'!O6</f>
        <v>0.41875000000000001</v>
      </c>
      <c r="O26" s="4">
        <f>'Labour Costs (2022-2024)'!P6</f>
        <v>0.41875000000000001</v>
      </c>
      <c r="P26" s="4">
        <f>'Labour Costs (2022-2024)'!Q6</f>
        <v>0.41875000000000001</v>
      </c>
      <c r="Q26" s="4">
        <f>'Labour Costs (2022-2024)'!R6</f>
        <v>0.41875000000000001</v>
      </c>
      <c r="R26" s="4">
        <f>'Labour Costs (2022-2024)'!S6</f>
        <v>0.41875000000000001</v>
      </c>
      <c r="S26" s="4">
        <f>'Labour Costs (2022-2024)'!T6</f>
        <v>0.41875000000000001</v>
      </c>
      <c r="T26" s="4">
        <f>'Labour Costs (2022-2024)'!U6</f>
        <v>0.41875000000000001</v>
      </c>
      <c r="U26" s="4">
        <f>'Labour Costs (2022-2024)'!V6</f>
        <v>0.41875000000000001</v>
      </c>
      <c r="V26" s="42">
        <f>SUM(B26:U26)</f>
        <v>6.700000000000002</v>
      </c>
    </row>
    <row r="27" spans="1:36">
      <c r="A27" s="5" t="s">
        <v>148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43"/>
    </row>
    <row r="28" spans="1:36">
      <c r="A28" t="s">
        <v>230</v>
      </c>
      <c r="B28" s="3">
        <f>'Labour Costs (2022-2024)'!C13</f>
        <v>34.477083333333333</v>
      </c>
      <c r="C28" s="3">
        <f>'Labour Costs (2022-2024)'!D13</f>
        <v>26.218402777777779</v>
      </c>
      <c r="D28" s="3">
        <f>'Labour Costs (2022-2024)'!E13</f>
        <v>22.193750000000001</v>
      </c>
      <c r="E28" s="3">
        <f>'Labour Costs (2022-2024)'!F13</f>
        <v>30.170937500000001</v>
      </c>
      <c r="F28" s="3">
        <f>'Labour Costs (2022-2024)'!G13</f>
        <v>21.792447916666667</v>
      </c>
      <c r="G28" s="3">
        <f>'Labour Costs (2022-2024)'!H13</f>
        <v>24.783020833333335</v>
      </c>
      <c r="H28" s="3">
        <f>'Labour Costs (2022-2024)'!I13</f>
        <v>28.684374999999999</v>
      </c>
      <c r="I28" s="3">
        <f>'Labour Costs (2022-2024)'!J13</f>
        <v>24.566666666666666</v>
      </c>
      <c r="J28" s="3">
        <f>'Labour Costs (2022-2024)'!K13</f>
        <v>26.035781250000003</v>
      </c>
      <c r="K28" s="3">
        <f>'Labour Costs (2022-2024)'!L13</f>
        <v>21.077083333333334</v>
      </c>
      <c r="L28" s="3">
        <f>'Labour Costs (2022-2024)'!M13</f>
        <v>15.703125</v>
      </c>
      <c r="M28" s="3">
        <f>'Labour Costs (2022-2024)'!N13</f>
        <v>24.259583333333335</v>
      </c>
      <c r="N28" s="3">
        <f>'Labour Costs (2022-2024)'!O13</f>
        <v>20.850260416666668</v>
      </c>
      <c r="O28" s="3">
        <f>'Labour Costs (2022-2024)'!P13</f>
        <v>31.915729166666669</v>
      </c>
      <c r="P28" s="3">
        <f>'Labour Costs (2022-2024)'!Q13</f>
        <v>20.658333333333335</v>
      </c>
      <c r="Q28" s="3">
        <f>'Labour Costs (2022-2024)'!R13</f>
        <v>43.155677083333337</v>
      </c>
      <c r="R28" s="3">
        <f>'Labour Costs (2022-2024)'!S13</f>
        <v>27.21875</v>
      </c>
      <c r="S28" s="3">
        <f>'Labour Costs (2022-2024)'!T13</f>
        <v>17.692187499999999</v>
      </c>
      <c r="T28" s="3">
        <f>'Labour Costs (2022-2024)'!U13</f>
        <v>32.704375000000006</v>
      </c>
      <c r="U28" s="3">
        <f>'Labour Costs (2022-2024)'!V13</f>
        <v>11.585416666666667</v>
      </c>
      <c r="V28" s="45">
        <f>SUM(B28:U28)</f>
        <v>505.74298611111118</v>
      </c>
    </row>
    <row r="29" spans="1:36">
      <c r="A29" s="5" t="s">
        <v>147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46"/>
    </row>
    <row r="30" spans="1:36">
      <c r="A30" t="s">
        <v>203</v>
      </c>
      <c r="B30" s="3">
        <f>'Labour Costs (2022-2024)'!C26</f>
        <v>13.4</v>
      </c>
      <c r="C30" s="3">
        <f>'Labour Costs (2022-2024)'!D26</f>
        <v>12.283333333333333</v>
      </c>
      <c r="D30" s="3">
        <f>'Labour Costs (2022-2024)'!E26</f>
        <v>15.005208333333334</v>
      </c>
      <c r="E30" s="3">
        <f>'Labour Costs (2022-2024)'!F26</f>
        <v>11.096875000000001</v>
      </c>
      <c r="F30" s="3">
        <f>'Labour Costs (2022-2024)'!G26</f>
        <v>9.4916666666666671</v>
      </c>
      <c r="G30" s="3">
        <f>'Labour Costs (2022-2024)'!H26</f>
        <v>15.772916666666667</v>
      </c>
      <c r="H30" s="3">
        <f>'Labour Costs (2022-2024)'!I26</f>
        <v>13.609375</v>
      </c>
      <c r="I30" s="3">
        <f>'Labour Costs (2022-2024)'!J26</f>
        <v>14.028125000000001</v>
      </c>
      <c r="J30" s="3">
        <f>'Labour Costs (2022-2024)'!K26</f>
        <v>10.259375</v>
      </c>
      <c r="K30" s="3">
        <f>'Labour Costs (2022-2024)'!L26</f>
        <v>9.9104166666666664</v>
      </c>
      <c r="L30" s="3">
        <f>'Labour Costs (2022-2024)'!M26</f>
        <v>14.795833333333334</v>
      </c>
      <c r="M30" s="3">
        <f>'Labour Costs (2022-2024)'!N26</f>
        <v>12.283333333333333</v>
      </c>
      <c r="N30" s="3">
        <f>'Labour Costs (2022-2024)'!O26</f>
        <v>19.122916666666669</v>
      </c>
      <c r="O30" s="3">
        <f>'Labour Costs (2022-2024)'!P26</f>
        <v>11.30625</v>
      </c>
      <c r="P30" s="3">
        <f>'Labour Costs (2022-2024)'!Q26</f>
        <v>17.727083333333333</v>
      </c>
      <c r="Q30" s="3">
        <f>'Labour Costs (2022-2024)'!R26</f>
        <v>11.864583333333334</v>
      </c>
      <c r="R30" s="3">
        <f>'Labour Costs (2022-2024)'!S26</f>
        <v>12.492708333333333</v>
      </c>
      <c r="S30" s="3">
        <f>'Labour Costs (2022-2024)'!T26</f>
        <v>14.516666666666667</v>
      </c>
      <c r="T30" s="3">
        <f>'Labour Costs (2022-2024)'!U26</f>
        <v>14.167708333333334</v>
      </c>
      <c r="U30" s="3">
        <f>'Labour Costs (2022-2024)'!V26</f>
        <v>17.727083333333333</v>
      </c>
      <c r="V30" s="45">
        <f>SUM(B30:U30)</f>
        <v>270.86145833333336</v>
      </c>
      <c r="AJ30" s="4">
        <f>'Crop Prices (2022-2024)'!I15/'Crop Prices (2022-2024)'!D15</f>
        <v>3.2700000000000005</v>
      </c>
    </row>
    <row r="31" spans="1:36">
      <c r="A31" t="s">
        <v>204</v>
      </c>
      <c r="B31" s="3">
        <f>'Labour Costs (2022-2024)'!C27</f>
        <v>4.3270833333333334</v>
      </c>
      <c r="C31" s="3">
        <f>'Labour Costs (2022-2024)'!D27</f>
        <v>6.8395833333333336</v>
      </c>
      <c r="D31" s="3">
        <f>'Labour Costs (2022-2024)'!E27</f>
        <v>4.6760416666666664</v>
      </c>
      <c r="E31" s="3">
        <f>'Labour Costs (2022-2024)'!F27</f>
        <v>6.0020833333333332</v>
      </c>
      <c r="F31" s="3">
        <f>'Labour Costs (2022-2024)'!G27</f>
        <v>5.5833333333333339</v>
      </c>
      <c r="G31" s="3">
        <f>'Labour Costs (2022-2024)'!H27</f>
        <v>3.9781249999999999</v>
      </c>
      <c r="H31" s="3">
        <f>'Labour Costs (2022-2024)'!I27</f>
        <v>4.3270833333333334</v>
      </c>
      <c r="I31" s="3">
        <f>'Labour Costs (2022-2024)'!J27</f>
        <v>7.3979166666666671</v>
      </c>
      <c r="J31" s="3">
        <f>'Labour Costs (2022-2024)'!K27</f>
        <v>3.2802083333333334</v>
      </c>
      <c r="K31" s="3">
        <f>'Labour Costs (2022-2024)'!L27</f>
        <v>5.5833333333333339</v>
      </c>
      <c r="L31" s="3">
        <f>'Labour Costs (2022-2024)'!M27</f>
        <v>4.6760416666666664</v>
      </c>
      <c r="M31" s="3">
        <f>'Labour Costs (2022-2024)'!N27</f>
        <v>4.7458333333333336</v>
      </c>
      <c r="N31" s="3">
        <f>'Labour Costs (2022-2024)'!O27</f>
        <v>5.3041666666666671</v>
      </c>
      <c r="O31" s="3">
        <f>'Labour Costs (2022-2024)'!P27</f>
        <v>4.7458333333333336</v>
      </c>
      <c r="P31" s="3">
        <f>'Labour Costs (2022-2024)'!Q27</f>
        <v>5.8624999999999998</v>
      </c>
      <c r="Q31" s="3">
        <f>'Labour Costs (2022-2024)'!R27</f>
        <v>6.7</v>
      </c>
      <c r="R31" s="3">
        <f>'Labour Costs (2022-2024)'!S27</f>
        <v>3.6291666666666669</v>
      </c>
      <c r="S31" s="3">
        <f>'Labour Costs (2022-2024)'!T27</f>
        <v>3.9083333333333332</v>
      </c>
      <c r="T31" s="3">
        <f>'Labour Costs (2022-2024)'!U27</f>
        <v>3.6291666666666669</v>
      </c>
      <c r="U31" s="3">
        <f>'Labour Costs (2022-2024)'!V27</f>
        <v>2.791666666666667</v>
      </c>
      <c r="V31" s="45">
        <f t="shared" ref="V31:V32" si="6">SUM(B31:U31)</f>
        <v>97.987499999999997</v>
      </c>
    </row>
    <row r="32" spans="1:36">
      <c r="A32" t="s">
        <v>205</v>
      </c>
      <c r="B32" s="3">
        <f>'Labour Costs (2022-2024)'!C28</f>
        <v>3.0708333333333333</v>
      </c>
      <c r="C32" s="3">
        <f>'Labour Costs (2022-2024)'!D28</f>
        <v>5.234375</v>
      </c>
      <c r="D32" s="3">
        <f>'Labour Costs (2022-2024)'!E28</f>
        <v>4.1177083333333337</v>
      </c>
      <c r="E32" s="3">
        <f>'Labour Costs (2022-2024)'!F28</f>
        <v>4.3270833333333334</v>
      </c>
      <c r="F32" s="3">
        <f>'Labour Costs (2022-2024)'!G28</f>
        <v>5.1645833333333337</v>
      </c>
      <c r="G32" s="3">
        <f>'Labour Costs (2022-2024)'!H28</f>
        <v>4.536458333333333</v>
      </c>
      <c r="H32" s="3">
        <f>'Labour Costs (2022-2024)'!I28</f>
        <v>5.3739583333333334</v>
      </c>
      <c r="I32" s="3">
        <f>'Labour Costs (2022-2024)'!J28</f>
        <v>4.0479166666666666</v>
      </c>
      <c r="J32" s="3">
        <f>'Labour Costs (2022-2024)'!K28</f>
        <v>3.2104166666666667</v>
      </c>
      <c r="K32" s="3">
        <f>'Labour Costs (2022-2024)'!L28</f>
        <v>4.4666666666666668</v>
      </c>
      <c r="L32" s="3">
        <f>'Labour Costs (2022-2024)'!M28</f>
        <v>4.3270833333333334</v>
      </c>
      <c r="M32" s="3">
        <f>'Labour Costs (2022-2024)'!N28</f>
        <v>2.6520833333333336</v>
      </c>
      <c r="N32" s="3">
        <f>'Labour Costs (2022-2024)'!O28</f>
        <v>3.6291666666666669</v>
      </c>
      <c r="O32" s="3">
        <f>'Labour Costs (2022-2024)'!P28</f>
        <v>4.1875</v>
      </c>
      <c r="P32" s="3">
        <f>'Labour Costs (2022-2024)'!Q28</f>
        <v>4.1177083333333337</v>
      </c>
      <c r="Q32" s="3">
        <f>'Labour Costs (2022-2024)'!R28</f>
        <v>4.1875</v>
      </c>
      <c r="R32" s="3">
        <f>'Labour Costs (2022-2024)'!S28</f>
        <v>1.1166666666666667</v>
      </c>
      <c r="S32" s="3">
        <f>'Labour Costs (2022-2024)'!T28</f>
        <v>2.5822916666666669</v>
      </c>
      <c r="T32" s="3">
        <f>'Labour Costs (2022-2024)'!U28</f>
        <v>5.3041666666666671</v>
      </c>
      <c r="U32" s="3">
        <f>'Labour Costs (2022-2024)'!V28</f>
        <v>4.2572916666666671</v>
      </c>
      <c r="V32" s="45">
        <f t="shared" si="6"/>
        <v>79.911458333333343</v>
      </c>
    </row>
    <row r="33" spans="1:22">
      <c r="A33" s="5" t="s">
        <v>159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46"/>
    </row>
    <row r="34" spans="1:22">
      <c r="A34" t="s">
        <v>208</v>
      </c>
      <c r="B34" s="3">
        <f>'Labour Costs (2022-2024)'!C39</f>
        <v>0</v>
      </c>
      <c r="C34" s="3">
        <f>'Labour Costs (2022-2024)'!D39</f>
        <v>0</v>
      </c>
      <c r="D34" s="3">
        <f>'Labour Costs (2022-2024)'!E39</f>
        <v>0</v>
      </c>
      <c r="E34" s="3">
        <f>'Labour Costs (2022-2024)'!F39</f>
        <v>0</v>
      </c>
      <c r="F34" s="3">
        <f>'Labour Costs (2022-2024)'!G39</f>
        <v>0</v>
      </c>
      <c r="G34" s="3">
        <f>'Labour Costs (2022-2024)'!H39</f>
        <v>0</v>
      </c>
      <c r="H34" s="3">
        <f>'Labour Costs (2022-2024)'!I39</f>
        <v>0</v>
      </c>
      <c r="I34" s="3">
        <f>'Labour Costs (2022-2024)'!J39</f>
        <v>0</v>
      </c>
      <c r="J34" s="3">
        <f>'Labour Costs (2022-2024)'!K39</f>
        <v>0</v>
      </c>
      <c r="K34" s="3">
        <f>'Labour Costs (2022-2024)'!L39</f>
        <v>0</v>
      </c>
      <c r="L34" s="3">
        <f>'Labour Costs (2022-2024)'!M39</f>
        <v>0</v>
      </c>
      <c r="M34" s="3">
        <f>'Labour Costs (2022-2024)'!N39</f>
        <v>0</v>
      </c>
      <c r="N34" s="3">
        <f>'Labour Costs (2022-2024)'!O39</f>
        <v>10.46875</v>
      </c>
      <c r="O34" s="3">
        <f>'Labour Costs (2022-2024)'!P39</f>
        <v>10.46875</v>
      </c>
      <c r="P34" s="3">
        <f>'Labour Costs (2022-2024)'!Q39</f>
        <v>10.46875</v>
      </c>
      <c r="Q34" s="3">
        <f>'Labour Costs (2022-2024)'!R39</f>
        <v>10.46875</v>
      </c>
      <c r="R34" s="3">
        <f>'Labour Costs (2022-2024)'!S39</f>
        <v>10.46875</v>
      </c>
      <c r="S34" s="3">
        <f>'Labour Costs (2022-2024)'!T39</f>
        <v>10.46875</v>
      </c>
      <c r="T34" s="3">
        <f>'Labour Costs (2022-2024)'!U39</f>
        <v>10.46875</v>
      </c>
      <c r="U34" s="3">
        <f>'Labour Costs (2022-2024)'!V39</f>
        <v>10.46875</v>
      </c>
      <c r="V34" s="45">
        <f>SUM(B34:U34)</f>
        <v>83.75</v>
      </c>
    </row>
    <row r="35" spans="1:22">
      <c r="A35" t="s">
        <v>209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45">
        <f t="shared" ref="V35:V42" si="7">SUM(B35:U35)</f>
        <v>0</v>
      </c>
    </row>
    <row r="36" spans="1:22">
      <c r="A36" s="13" t="s">
        <v>210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47">
        <f t="shared" si="7"/>
        <v>0</v>
      </c>
    </row>
    <row r="37" spans="1:22">
      <c r="A37" s="5" t="s">
        <v>311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46"/>
    </row>
    <row r="38" spans="1:22">
      <c r="A38" t="s">
        <v>335</v>
      </c>
      <c r="B38" s="62">
        <f t="shared" ref="B38:U38" si="8">B10*0.25</f>
        <v>7.9145787604407891</v>
      </c>
      <c r="C38" s="62">
        <f t="shared" si="8"/>
        <v>11.477572170140338</v>
      </c>
      <c r="D38" s="62">
        <f t="shared" si="8"/>
        <v>13.585423157580889</v>
      </c>
      <c r="E38" s="62">
        <f t="shared" si="8"/>
        <v>9.6763644855842692</v>
      </c>
      <c r="F38" s="62">
        <f t="shared" si="8"/>
        <v>9.9042342246629929</v>
      </c>
      <c r="G38" s="62">
        <f t="shared" si="8"/>
        <v>11.82974473314002</v>
      </c>
      <c r="H38" s="62">
        <f t="shared" si="8"/>
        <v>11.18353729693469</v>
      </c>
      <c r="I38" s="62">
        <f t="shared" si="8"/>
        <v>12.667545394337212</v>
      </c>
      <c r="J38" s="62">
        <f t="shared" si="8"/>
        <v>16.580827351659376</v>
      </c>
      <c r="K38" s="62">
        <f t="shared" si="8"/>
        <v>16.224360266465681</v>
      </c>
      <c r="L38" s="62">
        <f t="shared" si="8"/>
        <v>26.362083647923797</v>
      </c>
      <c r="M38" s="62">
        <f t="shared" si="8"/>
        <v>19.514577758439806</v>
      </c>
      <c r="N38" s="62">
        <f t="shared" si="8"/>
        <v>24.066119046491014</v>
      </c>
      <c r="O38" s="62">
        <f t="shared" si="8"/>
        <v>18.112683972175279</v>
      </c>
      <c r="P38" s="62">
        <f t="shared" si="8"/>
        <v>23.42375986174547</v>
      </c>
      <c r="Q38" s="62">
        <f t="shared" si="8"/>
        <v>22.087644573915561</v>
      </c>
      <c r="R38" s="62">
        <f t="shared" si="8"/>
        <v>17.388498289775026</v>
      </c>
      <c r="S38" s="62">
        <f t="shared" si="8"/>
        <v>18.138507047638395</v>
      </c>
      <c r="T38" s="62">
        <f t="shared" si="8"/>
        <v>20.795707553458186</v>
      </c>
      <c r="U38" s="62">
        <f t="shared" si="8"/>
        <v>21.803336826410902</v>
      </c>
      <c r="V38" s="44">
        <f>SUM(B38:U38)</f>
        <v>332.73710641891972</v>
      </c>
    </row>
    <row r="39" spans="1:22">
      <c r="A39" s="13" t="s">
        <v>336</v>
      </c>
      <c r="B39" s="30">
        <f t="shared" ref="B39:U39" si="9">B11*0.35</f>
        <v>18.83669744984908</v>
      </c>
      <c r="C39" s="30">
        <f t="shared" si="9"/>
        <v>27.316621764934009</v>
      </c>
      <c r="D39" s="30">
        <f t="shared" si="9"/>
        <v>32.333307115042523</v>
      </c>
      <c r="E39" s="30">
        <f t="shared" si="9"/>
        <v>23.029747475690559</v>
      </c>
      <c r="F39" s="30">
        <f t="shared" si="9"/>
        <v>23.572077454697922</v>
      </c>
      <c r="G39" s="30">
        <f t="shared" si="9"/>
        <v>28.15479246487325</v>
      </c>
      <c r="H39" s="30">
        <f t="shared" si="9"/>
        <v>26.616818766704561</v>
      </c>
      <c r="I39" s="30">
        <f t="shared" si="9"/>
        <v>30.148758038522555</v>
      </c>
      <c r="J39" s="30">
        <f t="shared" si="9"/>
        <v>41.783684926181628</v>
      </c>
      <c r="K39" s="30">
        <f t="shared" si="9"/>
        <v>40.885387871493514</v>
      </c>
      <c r="L39" s="30">
        <f t="shared" si="9"/>
        <v>66.432450792767966</v>
      </c>
      <c r="M39" s="30">
        <f t="shared" si="9"/>
        <v>49.176735951268306</v>
      </c>
      <c r="N39" s="30">
        <f t="shared" si="9"/>
        <v>60.646619997157352</v>
      </c>
      <c r="O39" s="30">
        <f t="shared" si="9"/>
        <v>45.643963609881702</v>
      </c>
      <c r="P39" s="30">
        <f t="shared" si="9"/>
        <v>59.027874851598575</v>
      </c>
      <c r="Q39" s="30">
        <f t="shared" si="9"/>
        <v>55.660864326267209</v>
      </c>
      <c r="R39" s="30">
        <f t="shared" si="9"/>
        <v>43.819015690233066</v>
      </c>
      <c r="S39" s="30">
        <f t="shared" si="9"/>
        <v>45.709037760048751</v>
      </c>
      <c r="T39" s="30">
        <f t="shared" si="9"/>
        <v>52.405183034714625</v>
      </c>
      <c r="U39" s="30">
        <f t="shared" si="9"/>
        <v>54.944408802555465</v>
      </c>
      <c r="V39" s="44">
        <f t="shared" ref="V39:V40" si="10">SUM(B39:U39)</f>
        <v>826.14404814448255</v>
      </c>
    </row>
    <row r="40" spans="1:22">
      <c r="A40" s="37" t="s">
        <v>372</v>
      </c>
      <c r="B40" s="38">
        <f>SUM(B21,B22,B24)</f>
        <v>1.67875</v>
      </c>
      <c r="C40" s="38">
        <f t="shared" ref="C40:U40" si="11">SUM(C21,C22,C24)</f>
        <v>1.67875</v>
      </c>
      <c r="D40" s="38">
        <f t="shared" si="11"/>
        <v>1.67875</v>
      </c>
      <c r="E40" s="38">
        <f t="shared" si="11"/>
        <v>1.67875</v>
      </c>
      <c r="F40" s="38">
        <f t="shared" si="11"/>
        <v>4.5637499999999998</v>
      </c>
      <c r="G40" s="38">
        <f t="shared" si="11"/>
        <v>4.5637499999999998</v>
      </c>
      <c r="H40" s="38">
        <f t="shared" si="11"/>
        <v>4.5637499999999998</v>
      </c>
      <c r="I40" s="38">
        <f t="shared" si="11"/>
        <v>4.5637499999999998</v>
      </c>
      <c r="J40" s="38">
        <f>SUM(J21,J22,J24)</f>
        <v>32.384999999999998</v>
      </c>
      <c r="K40" s="38">
        <f t="shared" si="11"/>
        <v>32.384999999999998</v>
      </c>
      <c r="L40" s="38">
        <f t="shared" si="11"/>
        <v>32.384999999999998</v>
      </c>
      <c r="M40" s="38">
        <f t="shared" si="11"/>
        <v>32.384999999999998</v>
      </c>
      <c r="N40" s="38">
        <f t="shared" si="11"/>
        <v>32.384999999999998</v>
      </c>
      <c r="O40" s="38">
        <f t="shared" si="11"/>
        <v>32.384999999999998</v>
      </c>
      <c r="P40" s="38">
        <f t="shared" si="11"/>
        <v>32.384999999999998</v>
      </c>
      <c r="Q40" s="38">
        <f t="shared" si="11"/>
        <v>32.384999999999998</v>
      </c>
      <c r="R40" s="38">
        <f t="shared" si="11"/>
        <v>32.384999999999998</v>
      </c>
      <c r="S40" s="38">
        <f t="shared" si="11"/>
        <v>32.384999999999998</v>
      </c>
      <c r="T40" s="38">
        <f t="shared" si="11"/>
        <v>32.384999999999998</v>
      </c>
      <c r="U40" s="38">
        <f t="shared" si="11"/>
        <v>32.384999999999998</v>
      </c>
      <c r="V40" s="52">
        <f t="shared" si="10"/>
        <v>413.58999999999992</v>
      </c>
    </row>
    <row r="41" spans="1:22">
      <c r="A41" s="37" t="s">
        <v>339</v>
      </c>
      <c r="B41" s="38">
        <f t="shared" ref="B41:U41" si="12">SUM(B18+B26+B28+B30+B31+B32+B34)</f>
        <v>60.465755208333334</v>
      </c>
      <c r="C41" s="38">
        <f>SUM(C18+C26+C28+C30+C31+C32+C34)</f>
        <v>55.76644965277778</v>
      </c>
      <c r="D41" s="38">
        <f t="shared" si="12"/>
        <v>51.183463541666676</v>
      </c>
      <c r="E41" s="38">
        <f t="shared" si="12"/>
        <v>56.787734374999999</v>
      </c>
      <c r="F41" s="38">
        <f t="shared" si="12"/>
        <v>47.641536458333334</v>
      </c>
      <c r="G41" s="38">
        <f t="shared" si="12"/>
        <v>54.680026041666672</v>
      </c>
      <c r="H41" s="38">
        <f t="shared" si="12"/>
        <v>57.604296875000003</v>
      </c>
      <c r="I41" s="38">
        <f t="shared" si="12"/>
        <v>55.650130208333337</v>
      </c>
      <c r="J41" s="38">
        <f t="shared" si="12"/>
        <v>49.791119791666674</v>
      </c>
      <c r="K41" s="38">
        <f t="shared" si="12"/>
        <v>48.042838541666676</v>
      </c>
      <c r="L41" s="38">
        <f t="shared" si="12"/>
        <v>46.507421875000006</v>
      </c>
      <c r="M41" s="38">
        <f t="shared" si="12"/>
        <v>50.946171875000005</v>
      </c>
      <c r="N41" s="38">
        <f t="shared" si="12"/>
        <v>67.427473958333337</v>
      </c>
      <c r="O41" s="38">
        <f t="shared" si="12"/>
        <v>70.676276041666668</v>
      </c>
      <c r="P41" s="38">
        <f t="shared" si="12"/>
        <v>66.886588541666669</v>
      </c>
      <c r="Q41" s="38">
        <f t="shared" si="12"/>
        <v>84.428723958333336</v>
      </c>
      <c r="R41" s="38">
        <f t="shared" si="12"/>
        <v>68.866927083333337</v>
      </c>
      <c r="S41" s="38">
        <f t="shared" si="12"/>
        <v>63.109114583333337</v>
      </c>
      <c r="T41" s="38">
        <f t="shared" si="12"/>
        <v>80.215052083333347</v>
      </c>
      <c r="U41" s="38">
        <f t="shared" si="12"/>
        <v>60.771093749999999</v>
      </c>
      <c r="V41" s="52">
        <f t="shared" si="7"/>
        <v>1197.4481944444449</v>
      </c>
    </row>
    <row r="42" spans="1:22">
      <c r="A42" s="39" t="s">
        <v>338</v>
      </c>
      <c r="B42" s="40">
        <f t="shared" ref="B42:U42" si="13">SUM(B18+B26+B28+B30+B31+B32+B34)</f>
        <v>60.465755208333334</v>
      </c>
      <c r="C42" s="40">
        <f t="shared" si="13"/>
        <v>55.76644965277778</v>
      </c>
      <c r="D42" s="40">
        <f t="shared" si="13"/>
        <v>51.183463541666676</v>
      </c>
      <c r="E42" s="40">
        <f t="shared" si="13"/>
        <v>56.787734374999999</v>
      </c>
      <c r="F42" s="40">
        <f t="shared" si="13"/>
        <v>47.641536458333334</v>
      </c>
      <c r="G42" s="40">
        <f t="shared" si="13"/>
        <v>54.680026041666672</v>
      </c>
      <c r="H42" s="40">
        <f t="shared" si="13"/>
        <v>57.604296875000003</v>
      </c>
      <c r="I42" s="40">
        <f t="shared" si="13"/>
        <v>55.650130208333337</v>
      </c>
      <c r="J42" s="40">
        <f t="shared" si="13"/>
        <v>49.791119791666674</v>
      </c>
      <c r="K42" s="40">
        <f t="shared" si="13"/>
        <v>48.042838541666676</v>
      </c>
      <c r="L42" s="40">
        <f t="shared" si="13"/>
        <v>46.507421875000006</v>
      </c>
      <c r="M42" s="40">
        <f t="shared" si="13"/>
        <v>50.946171875000005</v>
      </c>
      <c r="N42" s="40">
        <f t="shared" si="13"/>
        <v>67.427473958333337</v>
      </c>
      <c r="O42" s="40">
        <f t="shared" si="13"/>
        <v>70.676276041666668</v>
      </c>
      <c r="P42" s="40">
        <f t="shared" si="13"/>
        <v>66.886588541666669</v>
      </c>
      <c r="Q42" s="40">
        <f t="shared" si="13"/>
        <v>84.428723958333336</v>
      </c>
      <c r="R42" s="40">
        <f t="shared" si="13"/>
        <v>68.866927083333337</v>
      </c>
      <c r="S42" s="40">
        <f t="shared" si="13"/>
        <v>63.109114583333337</v>
      </c>
      <c r="T42" s="40">
        <f t="shared" si="13"/>
        <v>80.215052083333347</v>
      </c>
      <c r="U42" s="40">
        <f t="shared" si="13"/>
        <v>60.771093749999999</v>
      </c>
      <c r="V42" s="52">
        <f t="shared" si="7"/>
        <v>1197.4481944444449</v>
      </c>
    </row>
    <row r="43" spans="1:22">
      <c r="A43" s="39" t="s">
        <v>312</v>
      </c>
      <c r="B43" s="40">
        <f t="shared" ref="B43:U43" si="14">SUM(B16:B36,B38)</f>
        <v>76.924969385440789</v>
      </c>
      <c r="C43" s="40">
        <f t="shared" si="14"/>
        <v>75.788657239584779</v>
      </c>
      <c r="D43" s="40">
        <f t="shared" si="14"/>
        <v>73.313522115914225</v>
      </c>
      <c r="E43" s="40">
        <f t="shared" si="14"/>
        <v>75.008734277250937</v>
      </c>
      <c r="F43" s="40">
        <f t="shared" si="14"/>
        <v>68.97540609966299</v>
      </c>
      <c r="G43" s="40">
        <f t="shared" si="14"/>
        <v>77.939406191473353</v>
      </c>
      <c r="H43" s="40">
        <f t="shared" si="14"/>
        <v>80.217469588601347</v>
      </c>
      <c r="I43" s="40">
        <f t="shared" si="14"/>
        <v>79.747311019337218</v>
      </c>
      <c r="J43" s="40">
        <f t="shared" si="14"/>
        <v>105.62283255999272</v>
      </c>
      <c r="K43" s="40">
        <f t="shared" si="14"/>
        <v>103.51808422479901</v>
      </c>
      <c r="L43" s="40">
        <f t="shared" si="14"/>
        <v>112.12039093959046</v>
      </c>
      <c r="M43" s="40">
        <f t="shared" si="14"/>
        <v>109.71163505010648</v>
      </c>
      <c r="N43" s="40">
        <f t="shared" si="14"/>
        <v>130.74447842149104</v>
      </c>
      <c r="O43" s="40">
        <f t="shared" si="14"/>
        <v>128.03984543050862</v>
      </c>
      <c r="P43" s="40">
        <f t="shared" si="14"/>
        <v>129.56123382007883</v>
      </c>
      <c r="Q43" s="40">
        <f t="shared" si="14"/>
        <v>145.76725394891557</v>
      </c>
      <c r="R43" s="40">
        <f t="shared" si="14"/>
        <v>119.64042537310834</v>
      </c>
      <c r="S43" s="40">
        <f t="shared" si="14"/>
        <v>114.63262163097173</v>
      </c>
      <c r="T43" s="40">
        <f t="shared" si="14"/>
        <v>134.39575963679152</v>
      </c>
      <c r="U43" s="40">
        <f t="shared" si="14"/>
        <v>115.9594305764109</v>
      </c>
      <c r="V43" s="48">
        <f>SUM(B43:U43)</f>
        <v>2057.629467530031</v>
      </c>
    </row>
    <row r="44" spans="1:22">
      <c r="A44" s="39" t="s">
        <v>313</v>
      </c>
      <c r="B44" s="40">
        <f t="shared" ref="B44:U44" si="15">SUM(B16:B36,B39)</f>
        <v>87.847088074849083</v>
      </c>
      <c r="C44" s="40">
        <f t="shared" si="15"/>
        <v>91.627706834378458</v>
      </c>
      <c r="D44" s="40">
        <f t="shared" si="15"/>
        <v>92.061406073375863</v>
      </c>
      <c r="E44" s="40">
        <f t="shared" si="15"/>
        <v>88.36211726735722</v>
      </c>
      <c r="F44" s="40">
        <f t="shared" si="15"/>
        <v>82.643249329697923</v>
      </c>
      <c r="G44" s="40">
        <f t="shared" si="15"/>
        <v>94.264453923206588</v>
      </c>
      <c r="H44" s="40">
        <f t="shared" si="15"/>
        <v>95.650751058371213</v>
      </c>
      <c r="I44" s="40">
        <f t="shared" si="15"/>
        <v>97.228523663522566</v>
      </c>
      <c r="J44" s="40">
        <f t="shared" si="15"/>
        <v>130.82569013451496</v>
      </c>
      <c r="K44" s="40">
        <f t="shared" si="15"/>
        <v>128.17911182982684</v>
      </c>
      <c r="L44" s="40">
        <f t="shared" si="15"/>
        <v>152.19075808443463</v>
      </c>
      <c r="M44" s="40">
        <f t="shared" si="15"/>
        <v>139.37379324293499</v>
      </c>
      <c r="N44" s="40">
        <f t="shared" si="15"/>
        <v>167.32497937215737</v>
      </c>
      <c r="O44" s="40">
        <f t="shared" si="15"/>
        <v>155.57112506821505</v>
      </c>
      <c r="P44" s="40">
        <f t="shared" si="15"/>
        <v>165.16534880993191</v>
      </c>
      <c r="Q44" s="40">
        <f t="shared" si="15"/>
        <v>179.34047370126723</v>
      </c>
      <c r="R44" s="40">
        <f t="shared" si="15"/>
        <v>146.07094277356637</v>
      </c>
      <c r="S44" s="40">
        <f t="shared" si="15"/>
        <v>142.20315234338207</v>
      </c>
      <c r="T44" s="40">
        <f t="shared" si="15"/>
        <v>166.00523511804795</v>
      </c>
      <c r="U44" s="40">
        <f t="shared" si="15"/>
        <v>149.10050255255547</v>
      </c>
      <c r="V44" s="48">
        <f>SUM(B44:U44)</f>
        <v>2551.0364092555942</v>
      </c>
    </row>
    <row r="46" spans="1:22">
      <c r="A46" s="35" t="s">
        <v>214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41"/>
    </row>
    <row r="47" spans="1:22">
      <c r="A47" s="37" t="s">
        <v>314</v>
      </c>
      <c r="B47" s="53">
        <f t="shared" ref="B47:U47" si="16">B10-B43</f>
        <v>-45.266654343677629</v>
      </c>
      <c r="C47" s="53">
        <f>C10-C43</f>
        <v>-29.878368559023428</v>
      </c>
      <c r="D47" s="53">
        <f t="shared" si="16"/>
        <v>-18.971829485590668</v>
      </c>
      <c r="E47" s="53">
        <f t="shared" si="16"/>
        <v>-36.303276334913861</v>
      </c>
      <c r="F47" s="53">
        <f t="shared" si="16"/>
        <v>-29.358469201011019</v>
      </c>
      <c r="G47" s="53">
        <f t="shared" si="16"/>
        <v>-30.620427258913274</v>
      </c>
      <c r="H47" s="53">
        <f t="shared" si="16"/>
        <v>-35.483320400862588</v>
      </c>
      <c r="I47" s="53">
        <f t="shared" si="16"/>
        <v>-29.077129441988369</v>
      </c>
      <c r="J47" s="53">
        <f t="shared" si="16"/>
        <v>-39.29952315335521</v>
      </c>
      <c r="K47" s="53">
        <f t="shared" si="16"/>
        <v>-38.620643158936289</v>
      </c>
      <c r="L47" s="53">
        <f t="shared" si="16"/>
        <v>-6.6720563478952783</v>
      </c>
      <c r="M47" s="53">
        <f t="shared" si="16"/>
        <v>-31.653324016347256</v>
      </c>
      <c r="N47" s="53">
        <f t="shared" si="16"/>
        <v>-34.480002235526982</v>
      </c>
      <c r="O47" s="53">
        <f t="shared" si="16"/>
        <v>-55.589109541807503</v>
      </c>
      <c r="P47" s="53">
        <f t="shared" si="16"/>
        <v>-35.866194373096945</v>
      </c>
      <c r="Q47" s="53">
        <f t="shared" si="16"/>
        <v>-57.416675653253321</v>
      </c>
      <c r="R47" s="53">
        <f t="shared" si="16"/>
        <v>-50.086432214008241</v>
      </c>
      <c r="S47" s="53">
        <f t="shared" si="16"/>
        <v>-42.078593440418146</v>
      </c>
      <c r="T47" s="53">
        <f t="shared" si="16"/>
        <v>-51.21292942295878</v>
      </c>
      <c r="U47" s="53">
        <f t="shared" si="16"/>
        <v>-28.746083270767286</v>
      </c>
      <c r="V47" s="54">
        <f>AVERAGE(B47:U47)</f>
        <v>-36.334052092717606</v>
      </c>
    </row>
    <row r="48" spans="1:22">
      <c r="A48" s="37" t="s">
        <v>315</v>
      </c>
      <c r="B48" s="53">
        <f t="shared" ref="B48:U48" si="17">B11-B44</f>
        <v>-34.027952503851708</v>
      </c>
      <c r="C48" s="53">
        <f t="shared" si="17"/>
        <v>-13.58021607742414</v>
      </c>
      <c r="D48" s="53">
        <f t="shared" si="17"/>
        <v>0.31947139817421544</v>
      </c>
      <c r="E48" s="53">
        <f t="shared" si="17"/>
        <v>-22.562838765384186</v>
      </c>
      <c r="F48" s="53">
        <f t="shared" si="17"/>
        <v>-15.294456601989566</v>
      </c>
      <c r="G48" s="53">
        <f t="shared" si="17"/>
        <v>-13.822189737854444</v>
      </c>
      <c r="H48" s="53">
        <f t="shared" si="17"/>
        <v>-19.602697439215319</v>
      </c>
      <c r="I48" s="53">
        <f t="shared" si="17"/>
        <v>-11.089214982029546</v>
      </c>
      <c r="J48" s="53">
        <f t="shared" si="17"/>
        <v>-11.443733202567444</v>
      </c>
      <c r="K48" s="53">
        <f t="shared" si="17"/>
        <v>-11.363717911273937</v>
      </c>
      <c r="L48" s="53">
        <f t="shared" si="17"/>
        <v>37.616244180616718</v>
      </c>
      <c r="M48" s="53">
        <f t="shared" si="17"/>
        <v>1.1311666178316102</v>
      </c>
      <c r="N48" s="53">
        <f t="shared" si="17"/>
        <v>5.9510777625779383</v>
      </c>
      <c r="O48" s="53">
        <f t="shared" si="17"/>
        <v>-25.159800468553044</v>
      </c>
      <c r="P48" s="53">
        <f t="shared" si="17"/>
        <v>3.4857221946354571</v>
      </c>
      <c r="Q48" s="53">
        <f t="shared" si="17"/>
        <v>-20.309432769075187</v>
      </c>
      <c r="R48" s="53">
        <f t="shared" si="17"/>
        <v>-20.873755087186183</v>
      </c>
      <c r="S48" s="53">
        <f t="shared" si="17"/>
        <v>-11.605901600385636</v>
      </c>
      <c r="T48" s="53">
        <f t="shared" si="17"/>
        <v>-16.27614073314902</v>
      </c>
      <c r="U48" s="53">
        <f t="shared" si="17"/>
        <v>7.8835225976030188</v>
      </c>
      <c r="V48" s="54">
        <f t="shared" ref="V48:V50" si="18">AVERAGE(B48:U48)</f>
        <v>-9.5312421564250212</v>
      </c>
    </row>
    <row r="49" spans="1:22">
      <c r="A49" s="37" t="s">
        <v>352</v>
      </c>
      <c r="B49" s="53">
        <f t="shared" ref="B49:U49" si="19">B12-B43</f>
        <v>-55.819426024265354</v>
      </c>
      <c r="C49" s="53">
        <f t="shared" si="19"/>
        <v>-45.181798119210548</v>
      </c>
      <c r="D49" s="53">
        <f t="shared" si="19"/>
        <v>-37.085727029031858</v>
      </c>
      <c r="E49" s="53">
        <f t="shared" si="19"/>
        <v>-49.205095649026219</v>
      </c>
      <c r="F49" s="53">
        <f t="shared" si="19"/>
        <v>-42.564114833895012</v>
      </c>
      <c r="G49" s="53">
        <f t="shared" si="19"/>
        <v>-46.3934202364333</v>
      </c>
      <c r="H49" s="53">
        <f t="shared" si="19"/>
        <v>-50.394703463442177</v>
      </c>
      <c r="I49" s="53">
        <f t="shared" si="19"/>
        <v>-45.967189967771318</v>
      </c>
      <c r="J49" s="53">
        <f t="shared" si="19"/>
        <v>-61.407292955567712</v>
      </c>
      <c r="K49" s="53">
        <f t="shared" si="19"/>
        <v>-60.253123514223866</v>
      </c>
      <c r="L49" s="53">
        <f t="shared" si="19"/>
        <v>-41.821501211793674</v>
      </c>
      <c r="M49" s="53">
        <f t="shared" si="19"/>
        <v>-57.67276102760033</v>
      </c>
      <c r="N49" s="53">
        <f t="shared" si="19"/>
        <v>-66.568160964181672</v>
      </c>
      <c r="O49" s="53">
        <f t="shared" si="19"/>
        <v>-79.739354838041208</v>
      </c>
      <c r="P49" s="53">
        <f t="shared" si="19"/>
        <v>-67.097874188757572</v>
      </c>
      <c r="Q49" s="53">
        <f t="shared" si="19"/>
        <v>-86.86686841847407</v>
      </c>
      <c r="R49" s="53">
        <f t="shared" si="19"/>
        <v>-73.271096600374946</v>
      </c>
      <c r="S49" s="53">
        <f t="shared" si="19"/>
        <v>-66.263269503936016</v>
      </c>
      <c r="T49" s="53">
        <f t="shared" si="19"/>
        <v>-78.940539494236361</v>
      </c>
      <c r="U49" s="53">
        <f t="shared" si="19"/>
        <v>-57.817199039315156</v>
      </c>
      <c r="V49" s="54">
        <f t="shared" si="18"/>
        <v>-58.516525853978919</v>
      </c>
    </row>
    <row r="50" spans="1:22">
      <c r="A50" s="37" t="s">
        <v>353</v>
      </c>
      <c r="B50" s="53">
        <f t="shared" ref="B50:U50" si="20">B13-B44</f>
        <v>-44.79177961805118</v>
      </c>
      <c r="C50" s="53">
        <f t="shared" si="20"/>
        <v>-29.189714228814999</v>
      </c>
      <c r="D50" s="53">
        <f t="shared" si="20"/>
        <v>-18.156704096135797</v>
      </c>
      <c r="E50" s="53">
        <f t="shared" si="20"/>
        <v>-35.722694465778787</v>
      </c>
      <c r="F50" s="53">
        <f t="shared" si="20"/>
        <v>-28.764215147531232</v>
      </c>
      <c r="G50" s="53">
        <f t="shared" si="20"/>
        <v>-29.910642574924864</v>
      </c>
      <c r="H50" s="53">
        <f t="shared" si="20"/>
        <v>-34.812308163046495</v>
      </c>
      <c r="I50" s="53">
        <f t="shared" si="20"/>
        <v>-28.317076718328153</v>
      </c>
      <c r="J50" s="53">
        <f t="shared" si="20"/>
        <v>-35.320124588956944</v>
      </c>
      <c r="K50" s="53">
        <f t="shared" si="20"/>
        <v>-34.726796694984515</v>
      </c>
      <c r="L50" s="53">
        <f t="shared" si="20"/>
        <v>-0.3451562723935524</v>
      </c>
      <c r="M50" s="53">
        <f t="shared" si="20"/>
        <v>-26.969825354321699</v>
      </c>
      <c r="N50" s="53">
        <f t="shared" si="20"/>
        <v>-28.704133664369124</v>
      </c>
      <c r="O50" s="53">
        <f t="shared" si="20"/>
        <v>-51.242065388485443</v>
      </c>
      <c r="P50" s="53">
        <f t="shared" si="20"/>
        <v>-30.244492006278023</v>
      </c>
      <c r="Q50" s="53">
        <f t="shared" si="20"/>
        <v>-52.115640955513584</v>
      </c>
      <c r="R50" s="53">
        <f t="shared" si="20"/>
        <v>-45.913192624462212</v>
      </c>
      <c r="S50" s="53">
        <f t="shared" si="20"/>
        <v>-37.72535174898492</v>
      </c>
      <c r="T50" s="53">
        <f t="shared" si="20"/>
        <v>-46.221959610128806</v>
      </c>
      <c r="U50" s="53">
        <f t="shared" si="20"/>
        <v>-23.513282432428667</v>
      </c>
      <c r="V50" s="54">
        <f t="shared" si="18"/>
        <v>-33.135357817695947</v>
      </c>
    </row>
    <row r="52" spans="1:22">
      <c r="B52">
        <f>B47/B10</f>
        <v>-1.42985039740626</v>
      </c>
      <c r="C52">
        <f t="shared" ref="C52:P52" si="21">C47/C10</f>
        <v>-0.65079896941868021</v>
      </c>
      <c r="D52">
        <f t="shared" si="21"/>
        <v>-0.34912106280259803</v>
      </c>
      <c r="E52">
        <f t="shared" si="21"/>
        <v>-0.93793687673190795</v>
      </c>
      <c r="F52">
        <f t="shared" si="21"/>
        <v>-0.74105853453829207</v>
      </c>
      <c r="G52">
        <f t="shared" si="21"/>
        <v>-0.64710667790516141</v>
      </c>
      <c r="H52">
        <f t="shared" si="21"/>
        <v>-0.79320432030454846</v>
      </c>
      <c r="I52">
        <f t="shared" si="21"/>
        <v>-0.57385090277605699</v>
      </c>
      <c r="J52">
        <f t="shared" si="21"/>
        <v>-0.59254466498956382</v>
      </c>
      <c r="K52">
        <f t="shared" si="21"/>
        <v>-0.59510271167304118</v>
      </c>
      <c r="L52">
        <f t="shared" si="21"/>
        <v>-6.3273226397837778E-2</v>
      </c>
      <c r="M52">
        <f t="shared" si="21"/>
        <v>-0.40550869724375149</v>
      </c>
      <c r="N52">
        <f t="shared" si="21"/>
        <v>-0.35817991850823966</v>
      </c>
      <c r="O52">
        <f t="shared" si="21"/>
        <v>-0.76726770073396544</v>
      </c>
      <c r="P52">
        <f t="shared" si="21"/>
        <v>-0.38279715324088348</v>
      </c>
    </row>
    <row r="53" spans="1:22">
      <c r="L53" s="4"/>
    </row>
    <row r="54" spans="1:22">
      <c r="L54" s="4"/>
    </row>
  </sheetData>
  <conditionalFormatting sqref="B47:V50">
    <cfRule type="cellIs" dxfId="3" priority="1" operator="greaterThan">
      <formula>0.1</formula>
    </cfRule>
    <cfRule type="cellIs" dxfId="2" priority="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88E4-E331-4B20-A048-6F6A89A39DE8}">
  <dimension ref="A1:AO61"/>
  <sheetViews>
    <sheetView tabSelected="1" zoomScaleNormal="100" workbookViewId="0">
      <pane xSplit="1" ySplit="1" topLeftCell="B31" activePane="bottomRight" state="frozen"/>
      <selection pane="topRight" activeCell="B1" sqref="B1"/>
      <selection pane="bottomLeft" activeCell="A2" sqref="A2"/>
      <selection pane="bottomRight" activeCell="D55" sqref="D55"/>
    </sheetView>
  </sheetViews>
  <sheetFormatPr defaultRowHeight="15"/>
  <cols>
    <col min="1" max="1" width="68.42578125" bestFit="1" customWidth="1"/>
    <col min="2" max="21" width="9" customWidth="1"/>
    <col min="22" max="22" width="10.5703125" bestFit="1" customWidth="1"/>
    <col min="23" max="123" width="9" customWidth="1"/>
  </cols>
  <sheetData>
    <row r="1" spans="1:41" s="1" customFormat="1" ht="71.25">
      <c r="A1" s="16"/>
      <c r="B1" s="17" t="s">
        <v>33</v>
      </c>
      <c r="C1" s="17" t="s">
        <v>16</v>
      </c>
      <c r="D1" s="17" t="s">
        <v>17</v>
      </c>
      <c r="E1" s="17" t="s">
        <v>18</v>
      </c>
      <c r="F1" s="17" t="s">
        <v>19</v>
      </c>
      <c r="G1" s="17" t="s">
        <v>20</v>
      </c>
      <c r="H1" s="17" t="s">
        <v>21</v>
      </c>
      <c r="I1" s="17" t="s">
        <v>22</v>
      </c>
      <c r="J1" s="17" t="s">
        <v>23</v>
      </c>
      <c r="K1" s="17" t="s">
        <v>24</v>
      </c>
      <c r="L1" s="17" t="s">
        <v>25</v>
      </c>
      <c r="M1" s="17" t="s">
        <v>26</v>
      </c>
      <c r="N1" s="17" t="s">
        <v>27</v>
      </c>
      <c r="O1" s="17" t="s">
        <v>28</v>
      </c>
      <c r="P1" s="17" t="s">
        <v>34</v>
      </c>
      <c r="Q1" s="17" t="s">
        <v>35</v>
      </c>
      <c r="R1" s="17" t="s">
        <v>29</v>
      </c>
      <c r="S1" s="17" t="s">
        <v>30</v>
      </c>
      <c r="T1" s="17" t="s">
        <v>31</v>
      </c>
      <c r="U1" s="17" t="s">
        <v>32</v>
      </c>
      <c r="V1" s="49" t="s">
        <v>271</v>
      </c>
    </row>
    <row r="2" spans="1:41">
      <c r="A2" s="14" t="s">
        <v>158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50"/>
      <c r="AO2" s="2"/>
    </row>
    <row r="3" spans="1:41">
      <c r="A3" t="s">
        <v>300</v>
      </c>
      <c r="B3" s="4">
        <f>'Crop Revenue (2022-2024)'!C11</f>
        <v>4.4736202242555363</v>
      </c>
      <c r="C3" s="4">
        <f>'Crop Revenue (2022-2024)'!D11</f>
        <v>13.017646218343577</v>
      </c>
      <c r="D3" s="4">
        <f>'Crop Revenue (2022-2024)'!E11</f>
        <v>26.395830908707744</v>
      </c>
      <c r="E3" s="4">
        <f>'Crop Revenue (2022-2024)'!F11</f>
        <v>20.405496459298906</v>
      </c>
      <c r="F3" s="4">
        <f>'Crop Revenue (2022-2024)'!G11</f>
        <v>18.188798017038955</v>
      </c>
      <c r="G3" s="4">
        <f>'Crop Revenue (2022-2024)'!H11</f>
        <v>18.859350522143924</v>
      </c>
      <c r="H3" s="4">
        <f>'Crop Revenue (2022-2024)'!I11</f>
        <v>15.592430489957318</v>
      </c>
      <c r="I3" s="4">
        <f>'Crop Revenue (2022-2024)'!J11</f>
        <v>31.845602914352376</v>
      </c>
      <c r="J3" s="4">
        <f>'Crop Revenue (2022-2024)'!K11</f>
        <v>11.883736051380229</v>
      </c>
      <c r="K3" s="4">
        <f>'Crop Revenue (2022-2024)'!L11</f>
        <v>16.644349639302796</v>
      </c>
      <c r="L3" s="4">
        <f>'Crop Revenue (2022-2024)'!M11</f>
        <v>35.559581833354031</v>
      </c>
      <c r="M3" s="4">
        <f>'Crop Revenue (2022-2024)'!N11</f>
        <v>35.853577078468049</v>
      </c>
      <c r="N3" s="4">
        <f>'Crop Revenue (2022-2024)'!O11</f>
        <v>34.282745981816227</v>
      </c>
      <c r="O3" s="4">
        <f>'Crop Revenue (2022-2024)'!P11</f>
        <v>25.255905428920684</v>
      </c>
      <c r="P3" s="4">
        <f>'Crop Revenue (2022-2024)'!Q11</f>
        <v>38.978100535509448</v>
      </c>
      <c r="Q3" s="4">
        <f>'Crop Revenue (2022-2024)'!R11</f>
        <v>39.701223369343708</v>
      </c>
      <c r="R3" s="4">
        <f>'Crop Revenue (2022-2024)'!S11</f>
        <v>23.496548233384082</v>
      </c>
      <c r="S3" s="4">
        <f>'Crop Revenue (2022-2024)'!T11</f>
        <v>34.8272304492247</v>
      </c>
      <c r="T3" s="4">
        <f>'Crop Revenue (2022-2024)'!U11</f>
        <v>27.458892220784051</v>
      </c>
      <c r="U3" s="4">
        <f>'Crop Revenue (2022-2024)'!V11</f>
        <v>37.16271285603856</v>
      </c>
      <c r="V3" s="42">
        <f>SUM(B3:U3)</f>
        <v>509.88337943162497</v>
      </c>
    </row>
    <row r="4" spans="1:41">
      <c r="A4" t="s">
        <v>301</v>
      </c>
      <c r="B4" s="3">
        <f>'Crop Revenue (2022-2024)'!C23</f>
        <v>9.6100774633841386</v>
      </c>
      <c r="C4" s="3">
        <f>'Crop Revenue (2022-2024)'!D23</f>
        <v>7.8466721673470818</v>
      </c>
      <c r="D4" s="3">
        <f>'Crop Revenue (2022-2024)'!E23</f>
        <v>8.9377467923457345</v>
      </c>
      <c r="E4" s="3">
        <f>'Crop Revenue (2022-2024)'!F23</f>
        <v>6.6073263368605613</v>
      </c>
      <c r="F4" s="3">
        <f>'Crop Revenue (2022-2024)'!G23</f>
        <v>9.6428126645957484</v>
      </c>
      <c r="G4" s="3">
        <f>'Crop Revenue (2022-2024)'!H23</f>
        <v>6.3544802351944325</v>
      </c>
      <c r="H4" s="3">
        <f>'Crop Revenue (2022-2024)'!I23</f>
        <v>9.2135519717847121</v>
      </c>
      <c r="I4" s="3">
        <f>'Crop Revenue (2022-2024)'!J23</f>
        <v>14.976576738934121</v>
      </c>
      <c r="J4" s="3">
        <f>'Crop Revenue (2022-2024)'!K23</f>
        <v>29.498286313766695</v>
      </c>
      <c r="K4" s="3">
        <f>'Crop Revenue (2022-2024)'!L23</f>
        <v>14.815749215534643</v>
      </c>
      <c r="L4" s="3">
        <f>'Crop Revenue (2022-2024)'!M23</f>
        <v>9.9524822253954586</v>
      </c>
      <c r="M4" s="3">
        <f>'Crop Revenue (2022-2024)'!N23</f>
        <v>35.185931368289999</v>
      </c>
      <c r="N4" s="3">
        <f>'Crop Revenue (2022-2024)'!O23</f>
        <v>10.977190820030769</v>
      </c>
      <c r="O4" s="3">
        <f>'Crop Revenue (2022-2024)'!P23</f>
        <v>3.8380460412065576</v>
      </c>
      <c r="P4" s="3">
        <f>'Crop Revenue (2022-2024)'!Q23</f>
        <v>17.906270336954744</v>
      </c>
      <c r="Q4" s="3">
        <f>'Crop Revenue (2022-2024)'!R23</f>
        <v>31.097344075695101</v>
      </c>
      <c r="R4" s="3">
        <f>'Crop Revenue (2022-2024)'!S23</f>
        <v>19.291676356901682</v>
      </c>
      <c r="S4" s="3">
        <f>'Crop Revenue (2022-2024)'!T23</f>
        <v>33.964991077782024</v>
      </c>
      <c r="T4" s="3">
        <f>'Crop Revenue (2022-2024)'!U23</f>
        <v>24.59198156265283</v>
      </c>
      <c r="U4" s="3">
        <f>'Crop Revenue (2022-2024)'!V23</f>
        <v>19.810178905787151</v>
      </c>
      <c r="V4" s="45">
        <f t="shared" ref="V4:V13" si="0">SUM(B4:U4)</f>
        <v>324.11937267044419</v>
      </c>
    </row>
    <row r="5" spans="1:41">
      <c r="A5" t="s">
        <v>302</v>
      </c>
      <c r="B5" s="3">
        <f>'Crop Revenue (2022-2024)'!C35</f>
        <v>1.6373952674733041</v>
      </c>
      <c r="C5" s="3">
        <f>'Crop Revenue (2022-2024)'!D35</f>
        <v>3.1230518714413118</v>
      </c>
      <c r="D5" s="3">
        <f>'Crop Revenue (2022-2024)'!E35</f>
        <v>6.1782454585821176</v>
      </c>
      <c r="E5" s="3">
        <f>'Crop Revenue (2022-2024)'!F35</f>
        <v>4.5006378744862916</v>
      </c>
      <c r="F5" s="3">
        <f>'Crop Revenue (2022-2024)'!G35</f>
        <v>3.1626358706166062</v>
      </c>
      <c r="G5" s="3">
        <f>'Crop Revenue (2022-2024)'!H35</f>
        <v>2.5808139144844962</v>
      </c>
      <c r="H5" s="3">
        <f>'Crop Revenue (2022-2024)'!I35</f>
        <v>3.3128037405038357</v>
      </c>
      <c r="I5" s="3">
        <f>'Crop Revenue (2022-2024)'!J35</f>
        <v>3.3036931375190455</v>
      </c>
      <c r="J5" s="3">
        <f>'Crop Revenue (2022-2024)'!K35</f>
        <v>4.5920922347084456</v>
      </c>
      <c r="K5" s="3">
        <f>'Crop Revenue (2022-2024)'!L35</f>
        <v>9.432610164937298</v>
      </c>
      <c r="L5" s="3">
        <f>'Crop Revenue (2022-2024)'!M35</f>
        <v>13.746642166842447</v>
      </c>
      <c r="M5" s="3">
        <f>'Crop Revenue (2022-2024)'!N35</f>
        <v>17.415019569222473</v>
      </c>
      <c r="N5" s="3">
        <f>'Crop Revenue (2022-2024)'!O35</f>
        <v>5.1501042665245897</v>
      </c>
      <c r="O5" s="3">
        <f>'Crop Revenue (2022-2024)'!P35</f>
        <v>5.6923532465945135</v>
      </c>
      <c r="P5" s="3">
        <f>'Crop Revenue (2022-2024)'!Q35</f>
        <v>8.1797628121478319</v>
      </c>
      <c r="Q5" s="3">
        <f>'Crop Revenue (2022-2024)'!R35</f>
        <v>4.311509913625752</v>
      </c>
      <c r="R5" s="3">
        <f>'Crop Revenue (2022-2024)'!S35</f>
        <v>3.7736745880447682</v>
      </c>
      <c r="S5" s="3">
        <f>'Crop Revenue (2022-2024)'!T35</f>
        <v>4.0763251815721677</v>
      </c>
      <c r="T5" s="3">
        <f>'Crop Revenue (2022-2024)'!U35</f>
        <v>5.382136388228929</v>
      </c>
      <c r="U5" s="3">
        <f>'Crop Revenue (2022-2024)'!V35</f>
        <v>3.8026786032578106</v>
      </c>
      <c r="V5" s="45">
        <f t="shared" si="0"/>
        <v>113.35418627081404</v>
      </c>
      <c r="X5" s="4"/>
    </row>
    <row r="6" spans="1:41">
      <c r="A6" t="s">
        <v>303</v>
      </c>
      <c r="B6" s="4">
        <f>'Crop Revenue (2022-2024)'!C47</f>
        <v>7.6051543812344109</v>
      </c>
      <c r="C6" s="4">
        <f>'Crop Revenue (2022-2024)'!D47</f>
        <v>22.129998571184082</v>
      </c>
      <c r="D6" s="4">
        <f>'Crop Revenue (2022-2024)'!E47</f>
        <v>44.872912544803164</v>
      </c>
      <c r="E6" s="4">
        <f>'Crop Revenue (2022-2024)'!F47</f>
        <v>34.68934398080814</v>
      </c>
      <c r="F6" s="4">
        <f>'Crop Revenue (2022-2024)'!G47</f>
        <v>30.920956628966223</v>
      </c>
      <c r="G6" s="4">
        <f>'Crop Revenue (2022-2024)'!H47</f>
        <v>32.060895887644669</v>
      </c>
      <c r="H6" s="4">
        <f>'Crop Revenue (2022-2024)'!I47</f>
        <v>26.507131832927438</v>
      </c>
      <c r="I6" s="4">
        <f>'Crop Revenue (2022-2024)'!J47</f>
        <v>54.137524954399041</v>
      </c>
      <c r="J6" s="4">
        <f>'Crop Revenue (2022-2024)'!K47</f>
        <v>21.39072489248441</v>
      </c>
      <c r="K6" s="4">
        <f>'Crop Revenue (2022-2024)'!L47</f>
        <v>29.959829350745029</v>
      </c>
      <c r="L6" s="4">
        <f>'Crop Revenue (2022-2024)'!M47</f>
        <v>64.00724730003725</v>
      </c>
      <c r="M6" s="4">
        <f>'Crop Revenue (2022-2024)'!N47</f>
        <v>64.536438741242492</v>
      </c>
      <c r="N6" s="4">
        <f>'Crop Revenue (2022-2024)'!O47</f>
        <v>61.708942767269207</v>
      </c>
      <c r="O6" s="4">
        <f>'Crop Revenue (2022-2024)'!P47</f>
        <v>45.460629772057224</v>
      </c>
      <c r="P6" s="4">
        <f>'Crop Revenue (2022-2024)'!Q47</f>
        <v>70.160580963916999</v>
      </c>
      <c r="Q6" s="4">
        <f>'Crop Revenue (2022-2024)'!R47</f>
        <v>71.462202064818669</v>
      </c>
      <c r="R6" s="4">
        <f>'Crop Revenue (2022-2024)'!S47</f>
        <v>42.293786820091348</v>
      </c>
      <c r="S6" s="4">
        <f>'Crop Revenue (2022-2024)'!T47</f>
        <v>62.689014808604462</v>
      </c>
      <c r="T6" s="4">
        <f>'Crop Revenue (2022-2024)'!U47</f>
        <v>49.426005997411288</v>
      </c>
      <c r="U6" s="4">
        <f>'Crop Revenue (2022-2024)'!V47</f>
        <v>66.892883140869401</v>
      </c>
      <c r="V6" s="42">
        <f>SUM(B6:U6)</f>
        <v>902.91220540151494</v>
      </c>
    </row>
    <row r="7" spans="1:41">
      <c r="A7" t="s">
        <v>304</v>
      </c>
      <c r="B7" s="3">
        <f>'Crop Revenue (2022-2024)'!C59</f>
        <v>16.337131687753033</v>
      </c>
      <c r="C7" s="3">
        <f>'Crop Revenue (2022-2024)'!D59</f>
        <v>13.339342684490038</v>
      </c>
      <c r="D7" s="3">
        <f>'Crop Revenue (2022-2024)'!E59</f>
        <v>15.194169546987748</v>
      </c>
      <c r="E7" s="3">
        <f>'Crop Revenue (2022-2024)'!F59</f>
        <v>11.232454772662953</v>
      </c>
      <c r="F7" s="3">
        <f>'Crop Revenue (2022-2024)'!G59</f>
        <v>16.392781529812769</v>
      </c>
      <c r="G7" s="3">
        <f>'Crop Revenue (2022-2024)'!H59</f>
        <v>10.802616399830534</v>
      </c>
      <c r="H7" s="3">
        <f>'Crop Revenue (2022-2024)'!I59</f>
        <v>15.663038352034008</v>
      </c>
      <c r="I7" s="3">
        <f>'Crop Revenue (2022-2024)'!J59</f>
        <v>25.460180456188006</v>
      </c>
      <c r="J7" s="3">
        <f>'Crop Revenue (2022-2024)'!K59</f>
        <v>53.096915364780052</v>
      </c>
      <c r="K7" s="3">
        <f>'Crop Revenue (2022-2024)'!L59</f>
        <v>26.66834858796236</v>
      </c>
      <c r="L7" s="3">
        <f>'Crop Revenue (2022-2024)'!M59</f>
        <v>17.914468005711825</v>
      </c>
      <c r="M7" s="3">
        <f>'Crop Revenue (2022-2024)'!N59</f>
        <v>63.334676462921998</v>
      </c>
      <c r="N7" s="3">
        <f>'Crop Revenue (2022-2024)'!O59</f>
        <v>19.758943476055386</v>
      </c>
      <c r="O7" s="3">
        <f>'Crop Revenue (2022-2024)'!P59</f>
        <v>6.9084828741718036</v>
      </c>
      <c r="P7" s="3">
        <f>'Crop Revenue (2022-2024)'!Q59</f>
        <v>32.231286606518537</v>
      </c>
      <c r="Q7" s="3">
        <f>'Crop Revenue (2022-2024)'!R59</f>
        <v>55.975219336251186</v>
      </c>
      <c r="R7" s="3">
        <f>'Crop Revenue (2022-2024)'!S59</f>
        <v>34.725017442423031</v>
      </c>
      <c r="S7" s="3">
        <f>'Crop Revenue (2022-2024)'!T59</f>
        <v>61.136983940007639</v>
      </c>
      <c r="T7" s="3">
        <f>'Crop Revenue (2022-2024)'!U59</f>
        <v>44.265566812775091</v>
      </c>
      <c r="U7" s="3">
        <f>'Crop Revenue (2022-2024)'!V59</f>
        <v>35.658322030416869</v>
      </c>
      <c r="V7" s="45">
        <f t="shared" ref="V7:V8" si="1">SUM(B7:U7)</f>
        <v>576.09594636975498</v>
      </c>
    </row>
    <row r="8" spans="1:41">
      <c r="A8" t="s">
        <v>305</v>
      </c>
      <c r="B8" s="3">
        <f>'Crop Revenue (2022-2024)'!C71</f>
        <v>2.7835719547046169</v>
      </c>
      <c r="C8" s="3">
        <f>'Crop Revenue (2022-2024)'!D71</f>
        <v>5.3091881814502306</v>
      </c>
      <c r="D8" s="3">
        <f>'Crop Revenue (2022-2024)'!E71</f>
        <v>10.503017279589599</v>
      </c>
      <c r="E8" s="3">
        <f>'Crop Revenue (2022-2024)'!F71</f>
        <v>7.651084386626696</v>
      </c>
      <c r="F8" s="3">
        <f>'Crop Revenue (2022-2024)'!G71</f>
        <v>5.3764809800482309</v>
      </c>
      <c r="G8" s="3">
        <f>'Crop Revenue (2022-2024)'!H71</f>
        <v>4.3873836546236431</v>
      </c>
      <c r="H8" s="3">
        <f>'Crop Revenue (2022-2024)'!I71</f>
        <v>5.6317663588565203</v>
      </c>
      <c r="I8" s="3">
        <f>'Crop Revenue (2022-2024)'!J71</f>
        <v>5.6162783337823772</v>
      </c>
      <c r="J8" s="3">
        <f>'Crop Revenue (2022-2024)'!K71</f>
        <v>8.2657660224752032</v>
      </c>
      <c r="K8" s="3">
        <f>'Crop Revenue (2022-2024)'!L71</f>
        <v>16.978698296887138</v>
      </c>
      <c r="L8" s="3">
        <f>'Crop Revenue (2022-2024)'!M71</f>
        <v>24.743955900316404</v>
      </c>
      <c r="M8" s="3">
        <f>'Crop Revenue (2022-2024)'!N71</f>
        <v>31.34703522460045</v>
      </c>
      <c r="N8" s="3">
        <f>'Crop Revenue (2022-2024)'!O71</f>
        <v>9.2701876797442608</v>
      </c>
      <c r="O8" s="3">
        <f>'Crop Revenue (2022-2024)'!P71</f>
        <v>10.246235843870124</v>
      </c>
      <c r="P8" s="3">
        <f>'Crop Revenue (2022-2024)'!Q71</f>
        <v>14.723573061866098</v>
      </c>
      <c r="Q8" s="3">
        <f>'Crop Revenue (2022-2024)'!R71</f>
        <v>7.7607178445263543</v>
      </c>
      <c r="R8" s="3">
        <f>'Crop Revenue (2022-2024)'!S71</f>
        <v>6.7926142584805831</v>
      </c>
      <c r="S8" s="3">
        <f>'Crop Revenue (2022-2024)'!T71</f>
        <v>7.3373853268299012</v>
      </c>
      <c r="T8" s="3">
        <f>'Crop Revenue (2022-2024)'!U71</f>
        <v>9.6878454988120737</v>
      </c>
      <c r="U8" s="3">
        <f>'Crop Revenue (2022-2024)'!V71</f>
        <v>6.8448214858640597</v>
      </c>
      <c r="V8" s="45">
        <f t="shared" si="1"/>
        <v>201.25760757395454</v>
      </c>
      <c r="X8" s="4"/>
    </row>
    <row r="9" spans="1:41">
      <c r="A9" s="13" t="s">
        <v>157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51">
        <f>SUM(B9:U9)</f>
        <v>0</v>
      </c>
      <c r="X9" s="4"/>
    </row>
    <row r="10" spans="1:41">
      <c r="A10" s="37" t="s">
        <v>348</v>
      </c>
      <c r="B10" s="38">
        <f>SUM(B3:B5,B9)</f>
        <v>15.721092955112978</v>
      </c>
      <c r="C10" s="38">
        <f t="shared" ref="C10:U10" si="2">SUM(C3:C5,C9)</f>
        <v>23.987370257131971</v>
      </c>
      <c r="D10" s="38">
        <f t="shared" si="2"/>
        <v>41.511823159635597</v>
      </c>
      <c r="E10" s="38">
        <f t="shared" si="2"/>
        <v>31.51346067064576</v>
      </c>
      <c r="F10" s="38">
        <f t="shared" si="2"/>
        <v>30.994246552251312</v>
      </c>
      <c r="G10" s="38">
        <f t="shared" si="2"/>
        <v>27.794644671822851</v>
      </c>
      <c r="H10" s="38">
        <f t="shared" si="2"/>
        <v>28.118786202245865</v>
      </c>
      <c r="I10" s="38">
        <f t="shared" si="2"/>
        <v>50.125872790805545</v>
      </c>
      <c r="J10" s="38">
        <f t="shared" si="2"/>
        <v>45.974114599855369</v>
      </c>
      <c r="K10" s="38">
        <f t="shared" si="2"/>
        <v>40.892709019774742</v>
      </c>
      <c r="L10" s="38">
        <f t="shared" si="2"/>
        <v>59.258706225591936</v>
      </c>
      <c r="M10" s="38">
        <f t="shared" si="2"/>
        <v>88.454528015980515</v>
      </c>
      <c r="N10" s="38">
        <f t="shared" si="2"/>
        <v>50.410041068371584</v>
      </c>
      <c r="O10" s="38">
        <f t="shared" si="2"/>
        <v>34.786304716721752</v>
      </c>
      <c r="P10" s="38">
        <f t="shared" si="2"/>
        <v>65.064133684612017</v>
      </c>
      <c r="Q10" s="38">
        <f t="shared" si="2"/>
        <v>75.110077358664569</v>
      </c>
      <c r="R10" s="38">
        <f t="shared" si="2"/>
        <v>46.561899178330535</v>
      </c>
      <c r="S10" s="38">
        <f t="shared" si="2"/>
        <v>72.86854670857889</v>
      </c>
      <c r="T10" s="38">
        <f t="shared" si="2"/>
        <v>57.433010171665813</v>
      </c>
      <c r="U10" s="38">
        <f t="shared" si="2"/>
        <v>60.775570365083517</v>
      </c>
      <c r="V10" s="52">
        <f>SUM(B10:U10)</f>
        <v>947.35693837288306</v>
      </c>
      <c r="X10" s="4">
        <f>AVERAGE(R10:U10)</f>
        <v>59.409756605914694</v>
      </c>
    </row>
    <row r="11" spans="1:41">
      <c r="A11" s="39" t="s">
        <v>349</v>
      </c>
      <c r="B11" s="38">
        <f>SUM(B6:B9)</f>
        <v>26.725858023692059</v>
      </c>
      <c r="C11" s="38">
        <f t="shared" ref="C11:U11" si="3">SUM(C6:C9)</f>
        <v>40.778529437124355</v>
      </c>
      <c r="D11" s="38">
        <f t="shared" si="3"/>
        <v>70.570099371380508</v>
      </c>
      <c r="E11" s="38">
        <f t="shared" si="3"/>
        <v>53.572883140097787</v>
      </c>
      <c r="F11" s="38">
        <f t="shared" si="3"/>
        <v>52.690219138827217</v>
      </c>
      <c r="G11" s="38">
        <f t="shared" si="3"/>
        <v>47.250895942098843</v>
      </c>
      <c r="H11" s="38">
        <f t="shared" si="3"/>
        <v>47.801936543817973</v>
      </c>
      <c r="I11" s="38">
        <f t="shared" si="3"/>
        <v>85.213983744369429</v>
      </c>
      <c r="J11" s="38">
        <f t="shared" si="3"/>
        <v>82.753406279739664</v>
      </c>
      <c r="K11" s="38">
        <f t="shared" si="3"/>
        <v>73.606876235594527</v>
      </c>
      <c r="L11" s="38">
        <f t="shared" si="3"/>
        <v>106.66567120606548</v>
      </c>
      <c r="M11" s="38">
        <f t="shared" si="3"/>
        <v>159.21815042876494</v>
      </c>
      <c r="N11" s="38">
        <f t="shared" si="3"/>
        <v>90.738073923068839</v>
      </c>
      <c r="O11" s="38">
        <f t="shared" si="3"/>
        <v>62.615348490099151</v>
      </c>
      <c r="P11" s="38">
        <f t="shared" si="3"/>
        <v>117.11544063230164</v>
      </c>
      <c r="Q11" s="38">
        <f t="shared" si="3"/>
        <v>135.19813924559622</v>
      </c>
      <c r="R11" s="38">
        <f t="shared" si="3"/>
        <v>83.811418520994962</v>
      </c>
      <c r="S11" s="38">
        <f t="shared" si="3"/>
        <v>131.163384075442</v>
      </c>
      <c r="T11" s="38">
        <f t="shared" si="3"/>
        <v>103.37941830899845</v>
      </c>
      <c r="U11" s="63">
        <f t="shared" si="3"/>
        <v>109.39602665715033</v>
      </c>
      <c r="V11" s="52">
        <f t="shared" si="0"/>
        <v>1680.2657593452243</v>
      </c>
      <c r="X11" s="4">
        <f>AVERAGE(R11:U11)</f>
        <v>106.93756189064645</v>
      </c>
    </row>
    <row r="12" spans="1:41">
      <c r="A12" s="39" t="s">
        <v>350</v>
      </c>
      <c r="B12" s="38">
        <f>(2/3)*B10</f>
        <v>10.480728636741985</v>
      </c>
      <c r="C12" s="38">
        <f>(2/3)*C10</f>
        <v>15.991580171421313</v>
      </c>
      <c r="D12" s="38">
        <f t="shared" ref="D12:T12" si="4">(2/3)*D10</f>
        <v>27.674548773090397</v>
      </c>
      <c r="E12" s="38">
        <f t="shared" si="4"/>
        <v>21.008973780430505</v>
      </c>
      <c r="F12" s="38">
        <f t="shared" si="4"/>
        <v>20.662831034834205</v>
      </c>
      <c r="G12" s="38">
        <f t="shared" si="4"/>
        <v>18.529763114548565</v>
      </c>
      <c r="H12" s="38">
        <f t="shared" si="4"/>
        <v>18.745857468163909</v>
      </c>
      <c r="I12" s="38">
        <f t="shared" si="4"/>
        <v>33.417248527203697</v>
      </c>
      <c r="J12" s="38">
        <f t="shared" si="4"/>
        <v>30.649409733236912</v>
      </c>
      <c r="K12" s="38">
        <f t="shared" si="4"/>
        <v>27.261806013183161</v>
      </c>
      <c r="L12" s="38">
        <f t="shared" si="4"/>
        <v>39.505804150394624</v>
      </c>
      <c r="M12" s="38">
        <f t="shared" si="4"/>
        <v>58.96968534398701</v>
      </c>
      <c r="N12" s="38">
        <f t="shared" si="4"/>
        <v>33.606694045581051</v>
      </c>
      <c r="O12" s="38">
        <f t="shared" si="4"/>
        <v>23.190869811147834</v>
      </c>
      <c r="P12" s="38">
        <f t="shared" si="4"/>
        <v>43.376089123074678</v>
      </c>
      <c r="Q12" s="38">
        <f t="shared" si="4"/>
        <v>50.073384905776379</v>
      </c>
      <c r="R12" s="38">
        <f t="shared" si="4"/>
        <v>31.041266118887023</v>
      </c>
      <c r="S12" s="38">
        <f t="shared" si="4"/>
        <v>48.579031139052589</v>
      </c>
      <c r="T12" s="38">
        <f t="shared" si="4"/>
        <v>38.288673447777207</v>
      </c>
      <c r="U12" s="38">
        <f>(2/3)*U10</f>
        <v>40.517046910055676</v>
      </c>
      <c r="V12" s="52">
        <f>SUM(B12:U12)</f>
        <v>631.57129224858875</v>
      </c>
      <c r="X12" s="4"/>
    </row>
    <row r="13" spans="1:41">
      <c r="A13" s="37" t="s">
        <v>351</v>
      </c>
      <c r="B13" s="38">
        <f>0.8*B11</f>
        <v>21.380686418953648</v>
      </c>
      <c r="C13" s="38">
        <f>0.8*C11</f>
        <v>32.622823549699483</v>
      </c>
      <c r="D13" s="38">
        <f t="shared" ref="D13:U13" si="5">0.8*D11</f>
        <v>56.456079497104412</v>
      </c>
      <c r="E13" s="38">
        <f t="shared" si="5"/>
        <v>42.858306512078229</v>
      </c>
      <c r="F13" s="38">
        <f t="shared" si="5"/>
        <v>42.152175311061775</v>
      </c>
      <c r="G13" s="38">
        <f t="shared" si="5"/>
        <v>37.800716753679076</v>
      </c>
      <c r="H13" s="38">
        <f t="shared" si="5"/>
        <v>38.241549235054379</v>
      </c>
      <c r="I13" s="38">
        <f t="shared" si="5"/>
        <v>68.171186995495546</v>
      </c>
      <c r="J13" s="38">
        <f t="shared" si="5"/>
        <v>66.202725023791729</v>
      </c>
      <c r="K13" s="38">
        <f t="shared" si="5"/>
        <v>58.885500988475627</v>
      </c>
      <c r="L13" s="38">
        <f t="shared" si="5"/>
        <v>85.332536964852395</v>
      </c>
      <c r="M13" s="38">
        <f t="shared" si="5"/>
        <v>127.37452034301197</v>
      </c>
      <c r="N13" s="38">
        <f t="shared" si="5"/>
        <v>72.590459138455074</v>
      </c>
      <c r="O13" s="38">
        <f t="shared" si="5"/>
        <v>50.092278792079327</v>
      </c>
      <c r="P13" s="38">
        <f t="shared" si="5"/>
        <v>93.692352505841313</v>
      </c>
      <c r="Q13" s="38">
        <f t="shared" si="5"/>
        <v>108.15851139647698</v>
      </c>
      <c r="R13" s="38">
        <f t="shared" si="5"/>
        <v>67.04913481679597</v>
      </c>
      <c r="S13" s="38">
        <f t="shared" si="5"/>
        <v>104.9307072603536</v>
      </c>
      <c r="T13" s="38">
        <f t="shared" si="5"/>
        <v>82.703534647198765</v>
      </c>
      <c r="U13" s="63">
        <f t="shared" si="5"/>
        <v>87.516821325720272</v>
      </c>
      <c r="V13" s="52">
        <f t="shared" si="0"/>
        <v>1344.2126074761793</v>
      </c>
      <c r="X13" s="4"/>
    </row>
    <row r="15" spans="1:41">
      <c r="A15" s="35" t="s">
        <v>156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41"/>
    </row>
    <row r="16" spans="1:41">
      <c r="A16" s="5" t="s">
        <v>161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43"/>
    </row>
    <row r="17" spans="1:36">
      <c r="A17" t="s">
        <v>291</v>
      </c>
      <c r="B17" s="24">
        <f>'Land Prep Costs (2022-2024)'!$I$12</f>
        <v>6.3351562499999998</v>
      </c>
      <c r="C17" s="24">
        <f>'Land Prep Costs (2022-2024)'!$I$12</f>
        <v>6.3351562499999998</v>
      </c>
      <c r="D17" s="24">
        <f>'Land Prep Costs (2022-2024)'!$I$12</f>
        <v>6.3351562499999998</v>
      </c>
      <c r="E17" s="24">
        <f>'Land Prep Costs (2022-2024)'!$I$12</f>
        <v>6.3351562499999998</v>
      </c>
      <c r="F17" s="24">
        <f>'Land Prep Costs (2022-2024)'!$I$12</f>
        <v>6.3351562499999998</v>
      </c>
      <c r="G17" s="24">
        <f>'Land Prep Costs (2022-2024)'!$I$12</f>
        <v>6.3351562499999998</v>
      </c>
      <c r="H17" s="24">
        <f>'Land Prep Costs (2022-2024)'!$I$12</f>
        <v>6.3351562499999998</v>
      </c>
      <c r="I17" s="24">
        <f>'Land Prep Costs (2022-2024)'!$I$12</f>
        <v>6.3351562499999998</v>
      </c>
      <c r="J17" s="24">
        <f>'Land Prep Costs (2022-2024)'!$I$12</f>
        <v>6.3351562499999998</v>
      </c>
      <c r="K17" s="24">
        <f>'Land Prep Costs (2022-2024)'!$I$12</f>
        <v>6.3351562499999998</v>
      </c>
      <c r="L17" s="24">
        <f>'Land Prep Costs (2022-2024)'!$I$12</f>
        <v>6.3351562499999998</v>
      </c>
      <c r="M17" s="24">
        <f>'Land Prep Costs (2022-2024)'!$I$12</f>
        <v>6.3351562499999998</v>
      </c>
      <c r="N17" s="24">
        <f>'Land Prep Costs (2022-2024)'!$I$12</f>
        <v>6.3351562499999998</v>
      </c>
      <c r="O17" s="24">
        <f>'Land Prep Costs (2022-2024)'!$I$12</f>
        <v>6.3351562499999998</v>
      </c>
      <c r="P17" s="24">
        <f>'Land Prep Costs (2022-2024)'!$I$12</f>
        <v>6.3351562499999998</v>
      </c>
      <c r="Q17" s="24">
        <f>'Land Prep Costs (2022-2024)'!$I$12</f>
        <v>6.3351562499999998</v>
      </c>
      <c r="R17" s="24">
        <v>0</v>
      </c>
      <c r="S17" s="24">
        <v>0</v>
      </c>
      <c r="T17" s="24">
        <v>0</v>
      </c>
      <c r="U17" s="24">
        <v>0</v>
      </c>
      <c r="V17" s="44">
        <f>SUM(B17:U17)</f>
        <v>101.36249999999997</v>
      </c>
      <c r="X17" t="s">
        <v>235</v>
      </c>
    </row>
    <row r="18" spans="1:36">
      <c r="A18" t="s">
        <v>292</v>
      </c>
      <c r="B18" s="4">
        <f>'Land Prep Costs (2022-2024)'!$I$35</f>
        <v>5.3921874999999995</v>
      </c>
      <c r="C18" s="4">
        <f>'Land Prep Costs (2022-2024)'!$I$35</f>
        <v>5.3921874999999995</v>
      </c>
      <c r="D18" s="4">
        <f>'Land Prep Costs (2022-2024)'!$I$35</f>
        <v>5.3921874999999995</v>
      </c>
      <c r="E18" s="4">
        <f>'Land Prep Costs (2022-2024)'!$I$35</f>
        <v>5.3921874999999995</v>
      </c>
      <c r="F18" s="4">
        <f>'Land Prep Costs (2022-2024)'!$I$35</f>
        <v>5.3921874999999995</v>
      </c>
      <c r="G18" s="4">
        <f>'Land Prep Costs (2022-2024)'!$I$35</f>
        <v>5.3921874999999995</v>
      </c>
      <c r="H18" s="4">
        <f>'Land Prep Costs (2022-2024)'!$I$35</f>
        <v>5.3921874999999995</v>
      </c>
      <c r="I18" s="4">
        <f>'Land Prep Costs (2022-2024)'!$I$35</f>
        <v>5.3921874999999995</v>
      </c>
      <c r="J18" s="4">
        <f>'Land Prep Costs (2022-2024)'!$I$36</f>
        <v>7.6880208333333329</v>
      </c>
      <c r="K18" s="4">
        <f>'Land Prep Costs (2022-2024)'!$I$36</f>
        <v>7.6880208333333329</v>
      </c>
      <c r="L18" s="4">
        <f>'Land Prep Costs (2022-2024)'!$I$36</f>
        <v>7.6880208333333329</v>
      </c>
      <c r="M18" s="4">
        <f>'Land Prep Costs (2022-2024)'!$I$36</f>
        <v>7.6880208333333329</v>
      </c>
      <c r="N18" s="4">
        <f>'Land Prep Costs (2022-2024)'!$I$37</f>
        <v>8.7755208333333332</v>
      </c>
      <c r="O18" s="4">
        <f>'Land Prep Costs (2022-2024)'!$I$37</f>
        <v>8.7755208333333332</v>
      </c>
      <c r="P18" s="4">
        <f>'Land Prep Costs (2022-2024)'!$I$37</f>
        <v>8.7755208333333332</v>
      </c>
      <c r="Q18" s="4">
        <f>'Land Prep Costs (2022-2024)'!$I$37</f>
        <v>8.7755208333333332</v>
      </c>
      <c r="R18" s="4">
        <f>'Land Prep Costs (2022-2024)'!$I$38</f>
        <v>14.892708333333331</v>
      </c>
      <c r="S18" s="4">
        <f>'Land Prep Costs (2022-2024)'!$I$38</f>
        <v>14.892708333333331</v>
      </c>
      <c r="T18" s="4">
        <f>'Land Prep Costs (2022-2024)'!$I$38</f>
        <v>14.892708333333331</v>
      </c>
      <c r="U18" s="4">
        <f>'Land Prep Costs (2022-2024)'!$I$38</f>
        <v>14.892708333333331</v>
      </c>
      <c r="V18" s="42">
        <f t="shared" ref="V18:V19" si="6">SUM(B18:U18)</f>
        <v>168.56249999999997</v>
      </c>
      <c r="W18" s="4"/>
      <c r="X18" t="s">
        <v>236</v>
      </c>
    </row>
    <row r="19" spans="1:36">
      <c r="A19" t="s">
        <v>240</v>
      </c>
      <c r="B19" s="4">
        <f>'Costs (2022-2024)'!$I$16</f>
        <v>1</v>
      </c>
      <c r="C19" s="4">
        <f>'Costs (2022-2024)'!$I$16</f>
        <v>1</v>
      </c>
      <c r="D19" s="4">
        <f>'Costs (2022-2024)'!$I$16</f>
        <v>1</v>
      </c>
      <c r="E19" s="4">
        <f>'Costs (2022-2024)'!$I$16</f>
        <v>1</v>
      </c>
      <c r="F19" s="4">
        <f>'Costs (2022-2024)'!$I$16</f>
        <v>1</v>
      </c>
      <c r="G19" s="4">
        <f>'Costs (2022-2024)'!$I$16</f>
        <v>1</v>
      </c>
      <c r="H19" s="4">
        <f>'Costs (2022-2024)'!$I$16</f>
        <v>1</v>
      </c>
      <c r="I19" s="4">
        <f>'Costs (2022-2024)'!$I$16</f>
        <v>1</v>
      </c>
      <c r="J19" s="4">
        <f>'Costs (2022-2024)'!$I$16</f>
        <v>1</v>
      </c>
      <c r="K19" s="4">
        <f>'Costs (2022-2024)'!$I$16</f>
        <v>1</v>
      </c>
      <c r="L19" s="4">
        <f>'Costs (2022-2024)'!$I$16</f>
        <v>1</v>
      </c>
      <c r="M19" s="4">
        <f>'Costs (2022-2024)'!$I$16</f>
        <v>1</v>
      </c>
      <c r="N19" s="4">
        <f>'Costs (2022-2024)'!$I$16</f>
        <v>1</v>
      </c>
      <c r="O19" s="4">
        <f>'Costs (2022-2024)'!$I$16</f>
        <v>1</v>
      </c>
      <c r="P19" s="4">
        <f>'Costs (2022-2024)'!$I$16</f>
        <v>1</v>
      </c>
      <c r="Q19" s="4">
        <f>'Costs (2022-2024)'!$I$16</f>
        <v>1</v>
      </c>
      <c r="R19" s="4">
        <f>'Costs (2022-2024)'!$I$16</f>
        <v>1</v>
      </c>
      <c r="S19" s="4">
        <f>'Costs (2022-2024)'!$I$16</f>
        <v>1</v>
      </c>
      <c r="T19" s="4">
        <f>'Costs (2022-2024)'!$I$16</f>
        <v>1</v>
      </c>
      <c r="U19" s="4">
        <f>'Costs (2022-2024)'!$I$16</f>
        <v>1</v>
      </c>
      <c r="V19" s="42">
        <f t="shared" si="6"/>
        <v>20</v>
      </c>
      <c r="X19" t="s">
        <v>237</v>
      </c>
    </row>
    <row r="20" spans="1:36">
      <c r="A20" s="5" t="s">
        <v>162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43"/>
      <c r="X20" t="s">
        <v>238</v>
      </c>
    </row>
    <row r="21" spans="1:36">
      <c r="A21" t="s">
        <v>8</v>
      </c>
      <c r="B21" s="3">
        <f>'Costs (2022-2024)'!$I$11</f>
        <v>1.67875</v>
      </c>
      <c r="C21" s="3">
        <f>'Costs (2022-2024)'!$I$11</f>
        <v>1.67875</v>
      </c>
      <c r="D21" s="3">
        <f>'Costs (2022-2024)'!$I$11</f>
        <v>1.67875</v>
      </c>
      <c r="E21" s="3">
        <f>'Costs (2022-2024)'!$I$11</f>
        <v>1.67875</v>
      </c>
      <c r="F21" s="3">
        <f>'Costs (2022-2024)'!$I$11</f>
        <v>1.67875</v>
      </c>
      <c r="G21" s="3">
        <f>'Costs (2022-2024)'!$I$11</f>
        <v>1.67875</v>
      </c>
      <c r="H21" s="3">
        <f>'Costs (2022-2024)'!$I$11</f>
        <v>1.67875</v>
      </c>
      <c r="I21" s="3">
        <f>'Costs (2022-2024)'!$I$11</f>
        <v>1.67875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45">
        <f>SUM(B21:U21)</f>
        <v>13.430000000000003</v>
      </c>
      <c r="X21" t="s">
        <v>239</v>
      </c>
    </row>
    <row r="22" spans="1:36">
      <c r="A22" t="s">
        <v>11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f>'Costs (2022-2024)'!$I$14</f>
        <v>25.75</v>
      </c>
      <c r="K22" s="3">
        <f>'Costs (2022-2024)'!$I$14</f>
        <v>25.75</v>
      </c>
      <c r="L22" s="3">
        <f>'Costs (2022-2024)'!$I$14</f>
        <v>25.75</v>
      </c>
      <c r="M22" s="3">
        <f>'Costs (2022-2024)'!$I$14</f>
        <v>25.75</v>
      </c>
      <c r="N22" s="3">
        <f>'Costs (2022-2024)'!$I$14</f>
        <v>25.75</v>
      </c>
      <c r="O22" s="3">
        <f>'Costs (2022-2024)'!$I$14</f>
        <v>25.75</v>
      </c>
      <c r="P22" s="3">
        <f>'Costs (2022-2024)'!$I$14</f>
        <v>25.75</v>
      </c>
      <c r="Q22" s="3">
        <f>'Costs (2022-2024)'!$I$14</f>
        <v>25.75</v>
      </c>
      <c r="R22" s="3">
        <f>'Costs (2022-2024)'!$I$14</f>
        <v>25.75</v>
      </c>
      <c r="S22" s="3">
        <f>'Costs (2022-2024)'!$I$14</f>
        <v>25.75</v>
      </c>
      <c r="T22" s="3">
        <f>'Costs (2022-2024)'!$I$14</f>
        <v>25.75</v>
      </c>
      <c r="U22" s="3">
        <f>'Costs (2022-2024)'!$I$14</f>
        <v>25.75</v>
      </c>
      <c r="V22" s="45">
        <f>SUM(B22:U22)</f>
        <v>309</v>
      </c>
    </row>
    <row r="23" spans="1:36">
      <c r="A23" s="5" t="s">
        <v>163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43"/>
    </row>
    <row r="24" spans="1:36">
      <c r="A24" t="s">
        <v>160</v>
      </c>
      <c r="B24" s="3">
        <v>0</v>
      </c>
      <c r="C24" s="3">
        <v>0</v>
      </c>
      <c r="D24" s="3">
        <v>0</v>
      </c>
      <c r="E24" s="3">
        <v>0</v>
      </c>
      <c r="F24" s="3">
        <f>'Costs (2022-2024)'!$I$8</f>
        <v>2.4</v>
      </c>
      <c r="G24" s="3">
        <f>'Costs (2022-2024)'!$I$8</f>
        <v>2.4</v>
      </c>
      <c r="H24" s="3">
        <f>'Costs (2022-2024)'!$I$8</f>
        <v>2.4</v>
      </c>
      <c r="I24" s="3">
        <f>'Costs (2022-2024)'!$I$8</f>
        <v>2.4</v>
      </c>
      <c r="J24" s="3">
        <f>'Costs (2022-2024)'!$I$8</f>
        <v>2.4</v>
      </c>
      <c r="K24" s="3">
        <f>'Costs (2022-2024)'!$I$8</f>
        <v>2.4</v>
      </c>
      <c r="L24" s="3">
        <f>'Costs (2022-2024)'!$I$8</f>
        <v>2.4</v>
      </c>
      <c r="M24" s="3">
        <f>'Costs (2022-2024)'!$I$8</f>
        <v>2.4</v>
      </c>
      <c r="N24" s="3">
        <f>'Costs (2022-2024)'!$I$8</f>
        <v>2.4</v>
      </c>
      <c r="O24" s="3">
        <f>'Costs (2022-2024)'!$I$8</f>
        <v>2.4</v>
      </c>
      <c r="P24" s="3">
        <f>'Costs (2022-2024)'!$I$8</f>
        <v>2.4</v>
      </c>
      <c r="Q24" s="3">
        <f>'Costs (2022-2024)'!$I$8</f>
        <v>2.4</v>
      </c>
      <c r="R24" s="3">
        <f>'Costs (2022-2024)'!$I$8</f>
        <v>2.4</v>
      </c>
      <c r="S24" s="3">
        <f>'Costs (2022-2024)'!$I$8</f>
        <v>2.4</v>
      </c>
      <c r="T24" s="3">
        <f>'Costs (2022-2024)'!$I$8</f>
        <v>2.4</v>
      </c>
      <c r="U24" s="3">
        <f>'Costs (2022-2024)'!$I$8</f>
        <v>2.4</v>
      </c>
      <c r="V24" s="45">
        <f>SUM(B24:U24)</f>
        <v>38.399999999999991</v>
      </c>
    </row>
    <row r="25" spans="1:36">
      <c r="A25" s="5" t="s">
        <v>164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46"/>
    </row>
    <row r="26" spans="1:36">
      <c r="A26" t="s">
        <v>186</v>
      </c>
      <c r="B26" s="4">
        <f>'Labour Costs (2022-2024)'!C8</f>
        <v>0</v>
      </c>
      <c r="C26" s="4">
        <f>'Labour Costs (2022-2024)'!D8</f>
        <v>0</v>
      </c>
      <c r="D26" s="4">
        <f>'Labour Costs (2022-2024)'!E8</f>
        <v>0</v>
      </c>
      <c r="E26" s="4">
        <f>'Labour Costs (2022-2024)'!F8</f>
        <v>0</v>
      </c>
      <c r="F26" s="4">
        <f>'Labour Costs (2022-2024)'!G8</f>
        <v>0.43499999999999994</v>
      </c>
      <c r="G26" s="4">
        <f>'Labour Costs (2022-2024)'!H8</f>
        <v>0.43499999999999994</v>
      </c>
      <c r="H26" s="4">
        <f>'Labour Costs (2022-2024)'!I8</f>
        <v>0.43499999999999994</v>
      </c>
      <c r="I26" s="4">
        <f>'Labour Costs (2022-2024)'!J8</f>
        <v>0.43499999999999994</v>
      </c>
      <c r="J26" s="4">
        <f>'Labour Costs (2022-2024)'!K8</f>
        <v>0.43499999999999994</v>
      </c>
      <c r="K26" s="4">
        <f>'Labour Costs (2022-2024)'!L8</f>
        <v>0.43499999999999994</v>
      </c>
      <c r="L26" s="4">
        <f>'Labour Costs (2022-2024)'!M8</f>
        <v>0.43499999999999994</v>
      </c>
      <c r="M26" s="4">
        <f>'Labour Costs (2022-2024)'!N8</f>
        <v>0.43499999999999994</v>
      </c>
      <c r="N26" s="4">
        <f>'Labour Costs (2022-2024)'!O8</f>
        <v>0.43499999999999994</v>
      </c>
      <c r="O26" s="4">
        <f>'Labour Costs (2022-2024)'!P8</f>
        <v>0.43499999999999994</v>
      </c>
      <c r="P26" s="4">
        <f>'Labour Costs (2022-2024)'!Q8</f>
        <v>0.43499999999999994</v>
      </c>
      <c r="Q26" s="4">
        <f>'Labour Costs (2022-2024)'!R8</f>
        <v>0.43499999999999994</v>
      </c>
      <c r="R26" s="4">
        <f>'Labour Costs (2022-2024)'!S8</f>
        <v>0.43499999999999994</v>
      </c>
      <c r="S26" s="4">
        <f>'Labour Costs (2022-2024)'!T8</f>
        <v>0.43499999999999994</v>
      </c>
      <c r="T26" s="4">
        <f>'Labour Costs (2022-2024)'!U8</f>
        <v>0.43499999999999994</v>
      </c>
      <c r="U26" s="4">
        <f>'Labour Costs (2022-2024)'!V8</f>
        <v>0.43499999999999994</v>
      </c>
      <c r="V26" s="42">
        <f>SUM(B26:U26)</f>
        <v>6.9599999999999973</v>
      </c>
    </row>
    <row r="27" spans="1:36">
      <c r="A27" s="5" t="s">
        <v>148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43"/>
    </row>
    <row r="28" spans="1:36">
      <c r="A28" t="s">
        <v>230</v>
      </c>
      <c r="B28" s="3">
        <f>'Labour Costs (2022-2024)'!C15</f>
        <v>65.902499999999989</v>
      </c>
      <c r="C28" s="3">
        <f>'Labour Costs (2022-2024)'!D15</f>
        <v>44.949999999999996</v>
      </c>
      <c r="D28" s="3">
        <f>'Labour Costs (2022-2024)'!E15</f>
        <v>41.832499999999996</v>
      </c>
      <c r="E28" s="3">
        <f>'Labour Costs (2022-2024)'!F15</f>
        <v>55.462499999999999</v>
      </c>
      <c r="F28" s="3">
        <f>'Labour Costs (2022-2024)'!G15</f>
        <v>44.297499999999999</v>
      </c>
      <c r="G28" s="3">
        <f>'Labour Costs (2022-2024)'!H15</f>
        <v>39.294999999999995</v>
      </c>
      <c r="H28" s="3">
        <f>'Labour Costs (2022-2024)'!I15</f>
        <v>45.747499999999995</v>
      </c>
      <c r="I28" s="3">
        <f>'Labour Costs (2022-2024)'!J15</f>
        <v>45.167499999999997</v>
      </c>
      <c r="J28" s="3">
        <f>'Labour Costs (2022-2024)'!K15</f>
        <v>51.474999999999994</v>
      </c>
      <c r="K28" s="3">
        <f>'Labour Costs (2022-2024)'!L15</f>
        <v>36.612499999999997</v>
      </c>
      <c r="L28" s="3">
        <f>'Labour Costs (2022-2024)'!M15</f>
        <v>37.337499999999999</v>
      </c>
      <c r="M28" s="3">
        <f>'Labour Costs (2022-2024)'!N15</f>
        <v>54.708500000000001</v>
      </c>
      <c r="N28" s="3">
        <f>'Labour Costs (2022-2024)'!O15</f>
        <v>43.934999999999995</v>
      </c>
      <c r="O28" s="3">
        <f>'Labour Costs (2022-2024)'!P15</f>
        <v>51.474999999999994</v>
      </c>
      <c r="P28" s="3">
        <f>'Labour Costs (2022-2024)'!Q15</f>
        <v>38.497499999999995</v>
      </c>
      <c r="Q28" s="3">
        <f>'Labour Costs (2022-2024)'!R15</f>
        <v>72.282499999999999</v>
      </c>
      <c r="R28" s="3">
        <f>'Labour Costs (2022-2024)'!S15</f>
        <v>47.704999999999998</v>
      </c>
      <c r="S28" s="3">
        <f>'Labour Costs (2022-2024)'!T15</f>
        <v>40.672499999999999</v>
      </c>
      <c r="T28" s="3">
        <f>'Labour Costs (2022-2024)'!U15</f>
        <v>54.012499999999996</v>
      </c>
      <c r="U28" s="3">
        <f>'Labour Costs (2022-2024)'!V15</f>
        <v>32.914999999999999</v>
      </c>
      <c r="V28" s="45">
        <f>SUM(B28:U28)</f>
        <v>944.2835</v>
      </c>
    </row>
    <row r="29" spans="1:36">
      <c r="A29" s="5" t="s">
        <v>147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46"/>
    </row>
    <row r="30" spans="1:36">
      <c r="A30" t="s">
        <v>203</v>
      </c>
      <c r="B30" s="3">
        <f>'Labour Costs (2022-2024)'!C32</f>
        <v>5.51</v>
      </c>
      <c r="C30" s="3">
        <f>'Labour Costs (2022-2024)'!D32</f>
        <v>9.4249999999999989</v>
      </c>
      <c r="D30" s="3">
        <f>'Labour Costs (2022-2024)'!E32</f>
        <v>15.442499999999999</v>
      </c>
      <c r="E30" s="3">
        <f>'Labour Costs (2022-2024)'!F32</f>
        <v>14.470999999999998</v>
      </c>
      <c r="F30" s="3">
        <f>'Labour Costs (2022-2024)'!G32</f>
        <v>11.092499999999999</v>
      </c>
      <c r="G30" s="3">
        <f>'Labour Costs (2022-2024)'!H32</f>
        <v>12.469999999999999</v>
      </c>
      <c r="H30" s="3">
        <f>'Labour Costs (2022-2024)'!I32</f>
        <v>11.02</v>
      </c>
      <c r="I30" s="3">
        <f>'Labour Costs (2022-2024)'!J32</f>
        <v>19.574999999999999</v>
      </c>
      <c r="J30" s="3">
        <f>'Labour Costs (2022-2024)'!K32</f>
        <v>7.3949999999999996</v>
      </c>
      <c r="K30" s="3">
        <f>'Labour Costs (2022-2024)'!L32</f>
        <v>9.3524999999999991</v>
      </c>
      <c r="L30" s="3">
        <f>'Labour Costs (2022-2024)'!M32</f>
        <v>16.239999999999998</v>
      </c>
      <c r="M30" s="3">
        <f>'Labour Costs (2022-2024)'!N32</f>
        <v>15.805</v>
      </c>
      <c r="N30" s="3">
        <f>'Labour Costs (2022-2024)'!O32</f>
        <v>14.209999999999999</v>
      </c>
      <c r="O30" s="3">
        <f>'Labour Costs (2022-2024)'!P32</f>
        <v>12.469999999999999</v>
      </c>
      <c r="P30" s="3">
        <f>'Labour Costs (2022-2024)'!Q32</f>
        <v>16.239999999999998</v>
      </c>
      <c r="Q30" s="3">
        <f>'Labour Costs (2022-2024)'!R32</f>
        <v>16.674999999999997</v>
      </c>
      <c r="R30" s="3">
        <f>'Labour Costs (2022-2024)'!S32</f>
        <v>12.034999999999998</v>
      </c>
      <c r="S30" s="3">
        <f>'Labour Costs (2022-2024)'!T32</f>
        <v>14.645</v>
      </c>
      <c r="T30" s="3">
        <f>'Labour Costs (2022-2024)'!U32</f>
        <v>13.702499999999999</v>
      </c>
      <c r="U30" s="3">
        <f>'Labour Costs (2022-2024)'!V32</f>
        <v>17.11</v>
      </c>
      <c r="V30" s="45">
        <f>SUM(B30:U30)</f>
        <v>264.88600000000002</v>
      </c>
      <c r="AJ30" s="4">
        <f>'Crop Prices (2022-2024)'!I15/'Crop Prices (2022-2024)'!D15</f>
        <v>3.2700000000000005</v>
      </c>
    </row>
    <row r="31" spans="1:36">
      <c r="A31" t="s">
        <v>204</v>
      </c>
      <c r="B31" s="3">
        <f>'Labour Costs (2022-2024)'!C33</f>
        <v>7.6124999999999998</v>
      </c>
      <c r="C31" s="3">
        <f>'Labour Costs (2022-2024)'!D33</f>
        <v>9.1349999999999998</v>
      </c>
      <c r="D31" s="3">
        <f>'Labour Costs (2022-2024)'!E33</f>
        <v>7.8299999999999992</v>
      </c>
      <c r="E31" s="3">
        <f>'Labour Costs (2022-2024)'!F33</f>
        <v>6.3074999999999992</v>
      </c>
      <c r="F31" s="3">
        <f>'Labour Costs (2022-2024)'!G33</f>
        <v>8.0474999999999994</v>
      </c>
      <c r="G31" s="3">
        <f>'Labour Costs (2022-2024)'!H33</f>
        <v>4.7849999999999993</v>
      </c>
      <c r="H31" s="3">
        <f>'Labour Costs (2022-2024)'!I33</f>
        <v>6.9599999999999991</v>
      </c>
      <c r="I31" s="3">
        <f>'Labour Costs (2022-2024)'!J33</f>
        <v>9.1349999999999998</v>
      </c>
      <c r="J31" s="3">
        <f>'Labour Costs (2022-2024)'!K33</f>
        <v>6.9599999999999991</v>
      </c>
      <c r="K31" s="3">
        <f>'Labour Costs (2022-2024)'!L33</f>
        <v>3.4799999999999995</v>
      </c>
      <c r="L31" s="3">
        <f>'Labour Costs (2022-2024)'!M33</f>
        <v>1.7399999999999998</v>
      </c>
      <c r="M31" s="3">
        <f>'Labour Costs (2022-2024)'!N33</f>
        <v>6.3074999999999992</v>
      </c>
      <c r="N31" s="3">
        <f>'Labour Costs (2022-2024)'!O33</f>
        <v>1.7399999999999998</v>
      </c>
      <c r="O31" s="3">
        <f>'Labour Costs (2022-2024)'!P33</f>
        <v>1.1599999999999999</v>
      </c>
      <c r="P31" s="3">
        <f>'Labour Costs (2022-2024)'!Q33</f>
        <v>2.9</v>
      </c>
      <c r="Q31" s="3">
        <f>'Labour Costs (2022-2024)'!R33</f>
        <v>5.8</v>
      </c>
      <c r="R31" s="3">
        <f>'Labour Costs (2022-2024)'!S33</f>
        <v>2.3199999999999998</v>
      </c>
      <c r="S31" s="3">
        <f>'Labour Costs (2022-2024)'!T33</f>
        <v>3.5524999999999998</v>
      </c>
      <c r="T31" s="3">
        <f>'Labour Costs (2022-2024)'!U33</f>
        <v>3.7699999999999996</v>
      </c>
      <c r="U31" s="3">
        <f>'Labour Costs (2022-2024)'!V33</f>
        <v>2.0299999999999998</v>
      </c>
      <c r="V31" s="45">
        <f t="shared" ref="V31:V32" si="7">SUM(B31:U31)</f>
        <v>101.57249999999998</v>
      </c>
    </row>
    <row r="32" spans="1:36">
      <c r="A32" t="s">
        <v>205</v>
      </c>
      <c r="B32" s="3">
        <f>'Labour Costs (2022-2024)'!C34</f>
        <v>7.1049999999999995</v>
      </c>
      <c r="C32" s="3">
        <f>'Labour Costs (2022-2024)'!D34</f>
        <v>7.1774999999999993</v>
      </c>
      <c r="D32" s="3">
        <f>'Labour Costs (2022-2024)'!E34</f>
        <v>8.192499999999999</v>
      </c>
      <c r="E32" s="3">
        <f>'Labour Costs (2022-2024)'!F34</f>
        <v>7.6849999999999996</v>
      </c>
      <c r="F32" s="3">
        <f>'Labour Costs (2022-2024)'!G34</f>
        <v>7.3224999999999998</v>
      </c>
      <c r="G32" s="3">
        <f>'Labour Costs (2022-2024)'!H34</f>
        <v>6.09</v>
      </c>
      <c r="H32" s="3">
        <f>'Labour Costs (2022-2024)'!I34</f>
        <v>6.9599999999999991</v>
      </c>
      <c r="I32" s="3">
        <f>'Labour Costs (2022-2024)'!J34</f>
        <v>5.8724999999999996</v>
      </c>
      <c r="J32" s="3">
        <f>'Labour Costs (2022-2024)'!K34</f>
        <v>7.1049999999999995</v>
      </c>
      <c r="K32" s="3">
        <f>'Labour Costs (2022-2024)'!L34</f>
        <v>7.6849999999999996</v>
      </c>
      <c r="L32" s="3">
        <f>'Labour Costs (2022-2024)'!M34</f>
        <v>8.6274999999999995</v>
      </c>
      <c r="M32" s="3">
        <f>'Labour Costs (2022-2024)'!N34</f>
        <v>7.6849999999999996</v>
      </c>
      <c r="N32" s="3">
        <f>'Labour Costs (2022-2024)'!O34</f>
        <v>6.7424999999999997</v>
      </c>
      <c r="O32" s="3">
        <f>'Labour Costs (2022-2024)'!P34</f>
        <v>6.9599999999999991</v>
      </c>
      <c r="P32" s="3">
        <f>'Labour Costs (2022-2024)'!Q34</f>
        <v>8.192499999999999</v>
      </c>
      <c r="Q32" s="3">
        <f>'Labour Costs (2022-2024)'!R34</f>
        <v>8.3374999999999986</v>
      </c>
      <c r="R32" s="3">
        <f>'Labour Costs (2022-2024)'!S34</f>
        <v>5.1475</v>
      </c>
      <c r="S32" s="3">
        <f>'Labour Costs (2022-2024)'!T34</f>
        <v>6.3074999999999992</v>
      </c>
      <c r="T32" s="3">
        <f>'Labour Costs (2022-2024)'!U34</f>
        <v>6.1624999999999996</v>
      </c>
      <c r="U32" s="3">
        <f>'Labour Costs (2022-2024)'!V34</f>
        <v>6.3074999999999992</v>
      </c>
      <c r="V32" s="45">
        <f t="shared" si="7"/>
        <v>141.66499999999996</v>
      </c>
    </row>
    <row r="33" spans="1:23">
      <c r="A33" s="5" t="s">
        <v>159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46"/>
    </row>
    <row r="34" spans="1:23">
      <c r="A34" t="s">
        <v>208</v>
      </c>
      <c r="B34" s="3">
        <f>'Labour Costs (2022-2024)'!C41</f>
        <v>0</v>
      </c>
      <c r="C34" s="3">
        <f>'Labour Costs (2022-2024)'!D41</f>
        <v>0</v>
      </c>
      <c r="D34" s="3">
        <f>'Labour Costs (2022-2024)'!E41</f>
        <v>0</v>
      </c>
      <c r="E34" s="3">
        <f>'Labour Costs (2022-2024)'!F41</f>
        <v>0</v>
      </c>
      <c r="F34" s="3">
        <f>'Labour Costs (2022-2024)'!G41</f>
        <v>0</v>
      </c>
      <c r="G34" s="3">
        <f>'Labour Costs (2022-2024)'!H41</f>
        <v>0</v>
      </c>
      <c r="H34" s="3">
        <f>'Labour Costs (2022-2024)'!I41</f>
        <v>0</v>
      </c>
      <c r="I34" s="3">
        <f>'Labour Costs (2022-2024)'!J41</f>
        <v>0</v>
      </c>
      <c r="J34" s="3">
        <f>'Labour Costs (2022-2024)'!K41</f>
        <v>0</v>
      </c>
      <c r="K34" s="3">
        <f>'Labour Costs (2022-2024)'!L41</f>
        <v>0</v>
      </c>
      <c r="L34" s="3">
        <f>'Labour Costs (2022-2024)'!M41</f>
        <v>0</v>
      </c>
      <c r="M34" s="3">
        <f>'Labour Costs (2022-2024)'!N41</f>
        <v>0</v>
      </c>
      <c r="N34" s="3">
        <f>'Labour Costs (2022-2024)'!O41</f>
        <v>10.875</v>
      </c>
      <c r="O34" s="3">
        <f>'Labour Costs (2022-2024)'!P41</f>
        <v>10.875</v>
      </c>
      <c r="P34" s="3">
        <f>'Labour Costs (2022-2024)'!Q41</f>
        <v>10.875</v>
      </c>
      <c r="Q34" s="3">
        <f>'Labour Costs (2022-2024)'!R41</f>
        <v>10.875</v>
      </c>
      <c r="R34" s="3">
        <f>'Labour Costs (2022-2024)'!S41</f>
        <v>10.875</v>
      </c>
      <c r="S34" s="3">
        <f>'Labour Costs (2022-2024)'!T41</f>
        <v>10.875</v>
      </c>
      <c r="T34" s="3">
        <f>'Labour Costs (2022-2024)'!U41</f>
        <v>10.875</v>
      </c>
      <c r="U34" s="3">
        <f>'Labour Costs (2022-2024)'!V41</f>
        <v>10.875</v>
      </c>
      <c r="V34" s="45">
        <f>SUM(B34:U34)</f>
        <v>87</v>
      </c>
    </row>
    <row r="35" spans="1:23">
      <c r="A35" t="s">
        <v>209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45">
        <f t="shared" ref="V35:V36" si="8">SUM(B35:U35)</f>
        <v>0</v>
      </c>
    </row>
    <row r="36" spans="1:23">
      <c r="A36" s="13" t="s">
        <v>210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47">
        <f t="shared" si="8"/>
        <v>0</v>
      </c>
    </row>
    <row r="37" spans="1:23">
      <c r="A37" s="5" t="s">
        <v>311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46"/>
    </row>
    <row r="38" spans="1:23">
      <c r="A38" t="s">
        <v>335</v>
      </c>
      <c r="B38" s="24">
        <f t="shared" ref="B38:U38" si="9">B10*0.25</f>
        <v>3.9302732387782444</v>
      </c>
      <c r="C38" s="24">
        <f t="shared" si="9"/>
        <v>5.9968425642829928</v>
      </c>
      <c r="D38" s="24">
        <f t="shared" si="9"/>
        <v>10.377955789908899</v>
      </c>
      <c r="E38" s="24">
        <f t="shared" si="9"/>
        <v>7.8783651676614399</v>
      </c>
      <c r="F38" s="24">
        <f t="shared" si="9"/>
        <v>7.7485616380628279</v>
      </c>
      <c r="G38" s="24">
        <f t="shared" si="9"/>
        <v>6.9486611679557129</v>
      </c>
      <c r="H38" s="24">
        <f t="shared" si="9"/>
        <v>7.0296965505614661</v>
      </c>
      <c r="I38" s="24">
        <f t="shared" si="9"/>
        <v>12.531468197701386</v>
      </c>
      <c r="J38" s="24">
        <f t="shared" si="9"/>
        <v>11.493528649963842</v>
      </c>
      <c r="K38" s="24">
        <f t="shared" si="9"/>
        <v>10.223177254943685</v>
      </c>
      <c r="L38" s="24">
        <f t="shared" si="9"/>
        <v>14.814676556397984</v>
      </c>
      <c r="M38" s="24">
        <f t="shared" si="9"/>
        <v>22.113632003995129</v>
      </c>
      <c r="N38" s="24">
        <f t="shared" si="9"/>
        <v>12.602510267092896</v>
      </c>
      <c r="O38" s="24">
        <f t="shared" si="9"/>
        <v>8.6965761791804379</v>
      </c>
      <c r="P38" s="24">
        <f t="shared" si="9"/>
        <v>16.266033421153004</v>
      </c>
      <c r="Q38" s="24">
        <f t="shared" si="9"/>
        <v>18.777519339666142</v>
      </c>
      <c r="R38" s="24">
        <f t="shared" si="9"/>
        <v>11.640474794582634</v>
      </c>
      <c r="S38" s="24">
        <f t="shared" si="9"/>
        <v>18.217136677144723</v>
      </c>
      <c r="T38" s="24">
        <f t="shared" si="9"/>
        <v>14.358252542916453</v>
      </c>
      <c r="U38" s="24">
        <f t="shared" si="9"/>
        <v>15.193892591270879</v>
      </c>
      <c r="V38" s="44">
        <f>SUM(B38:U38)</f>
        <v>236.83923459322077</v>
      </c>
    </row>
    <row r="39" spans="1:23">
      <c r="A39" s="13" t="s">
        <v>336</v>
      </c>
      <c r="B39" s="30">
        <f t="shared" ref="B39:U39" si="10">B11*0.35</f>
        <v>9.3540503082922193</v>
      </c>
      <c r="C39" s="30">
        <f t="shared" si="10"/>
        <v>14.272485302993523</v>
      </c>
      <c r="D39" s="30">
        <f t="shared" si="10"/>
        <v>24.699534779983175</v>
      </c>
      <c r="E39" s="30">
        <f t="shared" si="10"/>
        <v>18.750509099034225</v>
      </c>
      <c r="F39" s="30">
        <f t="shared" si="10"/>
        <v>18.441576698589525</v>
      </c>
      <c r="G39" s="30">
        <f t="shared" si="10"/>
        <v>16.537813579734593</v>
      </c>
      <c r="H39" s="30">
        <f t="shared" si="10"/>
        <v>16.730677790336291</v>
      </c>
      <c r="I39" s="30">
        <f t="shared" si="10"/>
        <v>29.824894310529299</v>
      </c>
      <c r="J39" s="30">
        <f t="shared" si="10"/>
        <v>28.96369219790888</v>
      </c>
      <c r="K39" s="30">
        <f t="shared" si="10"/>
        <v>25.762406682458082</v>
      </c>
      <c r="L39" s="30">
        <f t="shared" si="10"/>
        <v>37.332984922122918</v>
      </c>
      <c r="M39" s="30">
        <f t="shared" si="10"/>
        <v>55.726352650067724</v>
      </c>
      <c r="N39" s="30">
        <f t="shared" si="10"/>
        <v>31.758325873074092</v>
      </c>
      <c r="O39" s="30">
        <f t="shared" si="10"/>
        <v>21.9153719715347</v>
      </c>
      <c r="P39" s="30">
        <f t="shared" si="10"/>
        <v>40.990404221305575</v>
      </c>
      <c r="Q39" s="30">
        <f t="shared" si="10"/>
        <v>47.319348735958677</v>
      </c>
      <c r="R39" s="30">
        <f t="shared" si="10"/>
        <v>29.333996482348233</v>
      </c>
      <c r="S39" s="30">
        <f t="shared" si="10"/>
        <v>45.907184426404697</v>
      </c>
      <c r="T39" s="30">
        <f t="shared" si="10"/>
        <v>36.182796408149457</v>
      </c>
      <c r="U39" s="30">
        <f t="shared" si="10"/>
        <v>38.288609330002615</v>
      </c>
      <c r="V39" s="51">
        <f t="shared" ref="V39:V40" si="11">SUM(B39:U39)</f>
        <v>588.09301577082852</v>
      </c>
    </row>
    <row r="40" spans="1:23">
      <c r="A40" s="37" t="s">
        <v>372</v>
      </c>
      <c r="B40" s="38">
        <f>SUM(B21, B22,B24)</f>
        <v>1.67875</v>
      </c>
      <c r="C40" s="38">
        <f t="shared" ref="C40:U40" si="12">SUM(C21, C22,C24)</f>
        <v>1.67875</v>
      </c>
      <c r="D40" s="38">
        <f t="shared" si="12"/>
        <v>1.67875</v>
      </c>
      <c r="E40" s="38">
        <f t="shared" si="12"/>
        <v>1.67875</v>
      </c>
      <c r="F40" s="38">
        <f t="shared" si="12"/>
        <v>4.0787499999999994</v>
      </c>
      <c r="G40" s="38">
        <f t="shared" si="12"/>
        <v>4.0787499999999994</v>
      </c>
      <c r="H40" s="38">
        <f t="shared" si="12"/>
        <v>4.0787499999999994</v>
      </c>
      <c r="I40" s="38">
        <f t="shared" si="12"/>
        <v>4.0787499999999994</v>
      </c>
      <c r="J40" s="38">
        <f t="shared" si="12"/>
        <v>28.15</v>
      </c>
      <c r="K40" s="38">
        <f t="shared" si="12"/>
        <v>28.15</v>
      </c>
      <c r="L40" s="38">
        <f t="shared" si="12"/>
        <v>28.15</v>
      </c>
      <c r="M40" s="38">
        <f t="shared" si="12"/>
        <v>28.15</v>
      </c>
      <c r="N40" s="38">
        <f t="shared" si="12"/>
        <v>28.15</v>
      </c>
      <c r="O40" s="38">
        <f t="shared" si="12"/>
        <v>28.15</v>
      </c>
      <c r="P40" s="38">
        <f t="shared" si="12"/>
        <v>28.15</v>
      </c>
      <c r="Q40" s="38">
        <f t="shared" si="12"/>
        <v>28.15</v>
      </c>
      <c r="R40" s="38">
        <f t="shared" si="12"/>
        <v>28.15</v>
      </c>
      <c r="S40" s="38">
        <f t="shared" si="12"/>
        <v>28.15</v>
      </c>
      <c r="T40" s="38">
        <f t="shared" si="12"/>
        <v>28.15</v>
      </c>
      <c r="U40" s="38">
        <f t="shared" si="12"/>
        <v>28.15</v>
      </c>
      <c r="V40" s="52">
        <f t="shared" si="11"/>
        <v>360.82999999999993</v>
      </c>
    </row>
    <row r="41" spans="1:23">
      <c r="A41" s="37" t="s">
        <v>339</v>
      </c>
      <c r="B41" s="38">
        <f t="shared" ref="B41:U41" si="13">SUM(B18+B26+B28+B30+B31+B32+B34)</f>
        <v>91.522187500000001</v>
      </c>
      <c r="C41" s="38">
        <f t="shared" si="13"/>
        <v>76.079687499999991</v>
      </c>
      <c r="D41" s="38">
        <f t="shared" si="13"/>
        <v>78.689687499999991</v>
      </c>
      <c r="E41" s="38">
        <f t="shared" si="13"/>
        <v>89.318187500000008</v>
      </c>
      <c r="F41" s="38">
        <f t="shared" si="13"/>
        <v>76.587187500000013</v>
      </c>
      <c r="G41" s="38">
        <f t="shared" si="13"/>
        <v>68.467187499999994</v>
      </c>
      <c r="H41" s="38">
        <f t="shared" si="13"/>
        <v>76.51468749999998</v>
      </c>
      <c r="I41" s="38">
        <f t="shared" si="13"/>
        <v>85.577187500000008</v>
      </c>
      <c r="J41" s="38">
        <f t="shared" si="13"/>
        <v>81.05802083333333</v>
      </c>
      <c r="K41" s="38">
        <f t="shared" si="13"/>
        <v>65.253020833333323</v>
      </c>
      <c r="L41" s="38">
        <f t="shared" si="13"/>
        <v>72.068020833333335</v>
      </c>
      <c r="M41" s="38">
        <f t="shared" si="13"/>
        <v>92.629020833333342</v>
      </c>
      <c r="N41" s="38">
        <f t="shared" si="13"/>
        <v>86.713020833333331</v>
      </c>
      <c r="O41" s="38">
        <f t="shared" si="13"/>
        <v>92.150520833333317</v>
      </c>
      <c r="P41" s="38">
        <f t="shared" si="13"/>
        <v>85.915520833333332</v>
      </c>
      <c r="Q41" s="38">
        <f t="shared" si="13"/>
        <v>123.18052083333333</v>
      </c>
      <c r="R41" s="38">
        <f t="shared" si="13"/>
        <v>93.410208333333316</v>
      </c>
      <c r="S41" s="38">
        <f t="shared" si="13"/>
        <v>91.380208333333329</v>
      </c>
      <c r="T41" s="38">
        <f t="shared" si="13"/>
        <v>103.85020833333331</v>
      </c>
      <c r="U41" s="38">
        <f t="shared" si="13"/>
        <v>84.565208333333345</v>
      </c>
      <c r="V41" s="52">
        <f>SUM(B41:U41)</f>
        <v>1714.9295</v>
      </c>
      <c r="W41" t="s">
        <v>273</v>
      </c>
    </row>
    <row r="42" spans="1:23">
      <c r="A42" s="39" t="s">
        <v>338</v>
      </c>
      <c r="B42" s="40">
        <f t="shared" ref="B42:U42" si="14">SUM(B18+B26+B28+B30+B31+B32+B34)</f>
        <v>91.522187500000001</v>
      </c>
      <c r="C42" s="40">
        <f t="shared" si="14"/>
        <v>76.079687499999991</v>
      </c>
      <c r="D42" s="40">
        <f t="shared" si="14"/>
        <v>78.689687499999991</v>
      </c>
      <c r="E42" s="40">
        <f t="shared" si="14"/>
        <v>89.318187500000008</v>
      </c>
      <c r="F42" s="40">
        <f t="shared" si="14"/>
        <v>76.587187500000013</v>
      </c>
      <c r="G42" s="40">
        <f t="shared" si="14"/>
        <v>68.467187499999994</v>
      </c>
      <c r="H42" s="40">
        <f t="shared" si="14"/>
        <v>76.51468749999998</v>
      </c>
      <c r="I42" s="40">
        <f t="shared" si="14"/>
        <v>85.577187500000008</v>
      </c>
      <c r="J42" s="40">
        <f t="shared" si="14"/>
        <v>81.05802083333333</v>
      </c>
      <c r="K42" s="40">
        <f t="shared" si="14"/>
        <v>65.253020833333323</v>
      </c>
      <c r="L42" s="40">
        <f t="shared" si="14"/>
        <v>72.068020833333335</v>
      </c>
      <c r="M42" s="40">
        <f t="shared" si="14"/>
        <v>92.629020833333342</v>
      </c>
      <c r="N42" s="40">
        <f t="shared" si="14"/>
        <v>86.713020833333331</v>
      </c>
      <c r="O42" s="40">
        <f t="shared" si="14"/>
        <v>92.150520833333317</v>
      </c>
      <c r="P42" s="40">
        <f t="shared" si="14"/>
        <v>85.915520833333332</v>
      </c>
      <c r="Q42" s="40">
        <f t="shared" si="14"/>
        <v>123.18052083333333</v>
      </c>
      <c r="R42" s="40">
        <f t="shared" si="14"/>
        <v>93.410208333333316</v>
      </c>
      <c r="S42" s="40">
        <f t="shared" si="14"/>
        <v>91.380208333333329</v>
      </c>
      <c r="T42" s="40">
        <f t="shared" si="14"/>
        <v>103.85020833333331</v>
      </c>
      <c r="U42" s="40">
        <f t="shared" si="14"/>
        <v>84.565208333333345</v>
      </c>
      <c r="V42" s="52">
        <f>SUM(B42:U42)</f>
        <v>1714.9295</v>
      </c>
    </row>
    <row r="43" spans="1:23">
      <c r="A43" s="39" t="s">
        <v>312</v>
      </c>
      <c r="B43" s="40">
        <f t="shared" ref="B43:U43" si="15">SUM(B17:B36,B38)</f>
        <v>104.46636698877823</v>
      </c>
      <c r="C43" s="40">
        <f t="shared" si="15"/>
        <v>91.090436314282982</v>
      </c>
      <c r="D43" s="40">
        <f t="shared" si="15"/>
        <v>98.081549539908877</v>
      </c>
      <c r="E43" s="40">
        <f t="shared" si="15"/>
        <v>106.21045891766146</v>
      </c>
      <c r="F43" s="40">
        <f t="shared" si="15"/>
        <v>95.74965538806282</v>
      </c>
      <c r="G43" s="40">
        <f t="shared" si="15"/>
        <v>86.829754917955711</v>
      </c>
      <c r="H43" s="40">
        <f t="shared" si="15"/>
        <v>94.958290300561444</v>
      </c>
      <c r="I43" s="40">
        <f t="shared" si="15"/>
        <v>109.52256194770139</v>
      </c>
      <c r="J43" s="40">
        <f t="shared" si="15"/>
        <v>128.03670573329717</v>
      </c>
      <c r="K43" s="40">
        <f t="shared" si="15"/>
        <v>110.961354338277</v>
      </c>
      <c r="L43" s="40">
        <f t="shared" si="15"/>
        <v>122.36785363973131</v>
      </c>
      <c r="M43" s="40">
        <f t="shared" si="15"/>
        <v>150.22780908732847</v>
      </c>
      <c r="N43" s="40">
        <f t="shared" si="15"/>
        <v>134.80068735042622</v>
      </c>
      <c r="O43" s="40">
        <f t="shared" si="15"/>
        <v>136.33225326251375</v>
      </c>
      <c r="P43" s="40">
        <f t="shared" si="15"/>
        <v>137.66671050448633</v>
      </c>
      <c r="Q43" s="40">
        <f t="shared" si="15"/>
        <v>177.44319642299951</v>
      </c>
      <c r="R43" s="40">
        <f t="shared" si="15"/>
        <v>134.20068312791594</v>
      </c>
      <c r="S43" s="40">
        <f t="shared" si="15"/>
        <v>138.74734501047806</v>
      </c>
      <c r="T43" s="40">
        <f t="shared" si="15"/>
        <v>147.35846087624978</v>
      </c>
      <c r="U43" s="40">
        <f t="shared" si="15"/>
        <v>128.90910092460422</v>
      </c>
      <c r="V43" s="48">
        <f>SUM(B43:U43)</f>
        <v>2433.961234593221</v>
      </c>
    </row>
    <row r="44" spans="1:23">
      <c r="A44" s="37" t="s">
        <v>313</v>
      </c>
      <c r="B44" s="40">
        <f t="shared" ref="B44:U44" si="16">SUM(B17:B36,B39)</f>
        <v>109.89014405829221</v>
      </c>
      <c r="C44" s="40">
        <f t="shared" si="16"/>
        <v>99.366079052993513</v>
      </c>
      <c r="D44" s="40">
        <f t="shared" si="16"/>
        <v>112.40312852998315</v>
      </c>
      <c r="E44" s="40">
        <f t="shared" si="16"/>
        <v>117.08260284903423</v>
      </c>
      <c r="F44" s="40">
        <f t="shared" si="16"/>
        <v>106.44267044858952</v>
      </c>
      <c r="G44" s="40">
        <f t="shared" si="16"/>
        <v>96.41890732973458</v>
      </c>
      <c r="H44" s="40">
        <f t="shared" si="16"/>
        <v>104.65927154033626</v>
      </c>
      <c r="I44" s="40">
        <f t="shared" si="16"/>
        <v>126.81598806052931</v>
      </c>
      <c r="J44" s="40">
        <f t="shared" si="16"/>
        <v>145.50686928124222</v>
      </c>
      <c r="K44" s="40">
        <f t="shared" si="16"/>
        <v>126.5005837657914</v>
      </c>
      <c r="L44" s="40">
        <f t="shared" si="16"/>
        <v>144.88616200545624</v>
      </c>
      <c r="M44" s="40">
        <f t="shared" si="16"/>
        <v>183.84052973340107</v>
      </c>
      <c r="N44" s="40">
        <f t="shared" si="16"/>
        <v>153.95650295640741</v>
      </c>
      <c r="O44" s="40">
        <f t="shared" si="16"/>
        <v>149.551049054868</v>
      </c>
      <c r="P44" s="40">
        <f t="shared" si="16"/>
        <v>162.3910813046389</v>
      </c>
      <c r="Q44" s="40">
        <f t="shared" si="16"/>
        <v>205.98502581929202</v>
      </c>
      <c r="R44" s="40">
        <f t="shared" si="16"/>
        <v>151.89420481568155</v>
      </c>
      <c r="S44" s="40">
        <f t="shared" si="16"/>
        <v>166.43739275973803</v>
      </c>
      <c r="T44" s="40">
        <f t="shared" si="16"/>
        <v>169.18300474148276</v>
      </c>
      <c r="U44" s="40">
        <f t="shared" si="16"/>
        <v>152.00381766333595</v>
      </c>
      <c r="V44" s="52">
        <f>SUM(B44:U44)</f>
        <v>2785.2150157708284</v>
      </c>
    </row>
    <row r="45" spans="1:23">
      <c r="N45" s="4"/>
    </row>
    <row r="46" spans="1:23">
      <c r="A46" s="35" t="s">
        <v>214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41"/>
    </row>
    <row r="47" spans="1:23">
      <c r="A47" s="37" t="s">
        <v>314</v>
      </c>
      <c r="B47" s="53">
        <f t="shared" ref="B47:U47" si="17">B10-B43</f>
        <v>-88.745274033665254</v>
      </c>
      <c r="C47" s="53">
        <f t="shared" si="17"/>
        <v>-67.103066057151011</v>
      </c>
      <c r="D47" s="53">
        <f t="shared" si="17"/>
        <v>-56.569726380273281</v>
      </c>
      <c r="E47" s="53">
        <f t="shared" si="17"/>
        <v>-74.696998247015699</v>
      </c>
      <c r="F47" s="53">
        <f t="shared" si="17"/>
        <v>-64.755408835811508</v>
      </c>
      <c r="G47" s="53">
        <f t="shared" si="17"/>
        <v>-59.035110246132859</v>
      </c>
      <c r="H47" s="53">
        <f t="shared" si="17"/>
        <v>-66.839504098315587</v>
      </c>
      <c r="I47" s="53">
        <f t="shared" si="17"/>
        <v>-59.396689156895846</v>
      </c>
      <c r="J47" s="53">
        <f t="shared" si="17"/>
        <v>-82.062591133441799</v>
      </c>
      <c r="K47" s="53">
        <f t="shared" si="17"/>
        <v>-70.068645318502263</v>
      </c>
      <c r="L47" s="53">
        <f t="shared" si="17"/>
        <v>-63.109147414139372</v>
      </c>
      <c r="M47" s="53">
        <f t="shared" si="17"/>
        <v>-61.773281071347952</v>
      </c>
      <c r="N47" s="53">
        <f t="shared" si="17"/>
        <v>-84.390646282054632</v>
      </c>
      <c r="O47" s="53">
        <f t="shared" si="17"/>
        <v>-101.54594854579199</v>
      </c>
      <c r="P47" s="53">
        <f t="shared" si="17"/>
        <v>-72.602576819874315</v>
      </c>
      <c r="Q47" s="53">
        <f t="shared" si="17"/>
        <v>-102.33311906433494</v>
      </c>
      <c r="R47" s="53">
        <f t="shared" si="17"/>
        <v>-87.638783949585402</v>
      </c>
      <c r="S47" s="53">
        <f t="shared" si="17"/>
        <v>-65.878798301899167</v>
      </c>
      <c r="T47" s="53">
        <f t="shared" si="17"/>
        <v>-89.925450704583966</v>
      </c>
      <c r="U47" s="53">
        <f t="shared" si="17"/>
        <v>-68.133530559520693</v>
      </c>
      <c r="V47" s="54">
        <f>AVERAGE(B47:U47)</f>
        <v>-74.330214811016859</v>
      </c>
    </row>
    <row r="48" spans="1:23">
      <c r="A48" s="37" t="s">
        <v>315</v>
      </c>
      <c r="B48" s="53">
        <f t="shared" ref="B48:U48" si="18">B11-B44</f>
        <v>-83.164286034600153</v>
      </c>
      <c r="C48" s="53">
        <f t="shared" si="18"/>
        <v>-58.587549615869158</v>
      </c>
      <c r="D48" s="53">
        <f t="shared" si="18"/>
        <v>-41.833029158602642</v>
      </c>
      <c r="E48" s="53">
        <f t="shared" si="18"/>
        <v>-63.509719708936444</v>
      </c>
      <c r="F48" s="53">
        <f t="shared" si="18"/>
        <v>-53.752451309762307</v>
      </c>
      <c r="G48" s="53">
        <f t="shared" si="18"/>
        <v>-49.168011387635737</v>
      </c>
      <c r="H48" s="53">
        <f t="shared" si="18"/>
        <v>-56.85733499651829</v>
      </c>
      <c r="I48" s="53">
        <f t="shared" si="18"/>
        <v>-41.602004316159878</v>
      </c>
      <c r="J48" s="53">
        <f t="shared" si="18"/>
        <v>-62.753463001502553</v>
      </c>
      <c r="K48" s="53">
        <f t="shared" si="18"/>
        <v>-52.893707530196878</v>
      </c>
      <c r="L48" s="53">
        <f t="shared" si="18"/>
        <v>-38.22049079939076</v>
      </c>
      <c r="M48" s="53">
        <f t="shared" si="18"/>
        <v>-24.622379304636127</v>
      </c>
      <c r="N48" s="53">
        <f t="shared" si="18"/>
        <v>-63.218429033338566</v>
      </c>
      <c r="O48" s="53">
        <f t="shared" si="18"/>
        <v>-86.935700564768851</v>
      </c>
      <c r="P48" s="53">
        <f t="shared" si="18"/>
        <v>-45.275640672337261</v>
      </c>
      <c r="Q48" s="53">
        <f t="shared" si="18"/>
        <v>-70.786886573695796</v>
      </c>
      <c r="R48" s="53">
        <f t="shared" si="18"/>
        <v>-68.082786294686585</v>
      </c>
      <c r="S48" s="53">
        <f t="shared" si="18"/>
        <v>-35.274008684296035</v>
      </c>
      <c r="T48" s="53">
        <f t="shared" si="18"/>
        <v>-65.803586432484309</v>
      </c>
      <c r="U48" s="53">
        <f t="shared" si="18"/>
        <v>-42.607791006185622</v>
      </c>
      <c r="V48" s="54">
        <f t="shared" ref="V48:V50" si="19">AVERAGE(B48:U48)</f>
        <v>-55.247462821280195</v>
      </c>
    </row>
    <row r="49" spans="1:22">
      <c r="A49" s="37" t="s">
        <v>352</v>
      </c>
      <c r="B49" s="53">
        <f t="shared" ref="B49:U49" si="20">B12-B43</f>
        <v>-93.985638352036247</v>
      </c>
      <c r="C49" s="53">
        <f t="shared" si="20"/>
        <v>-75.098856142861663</v>
      </c>
      <c r="D49" s="53">
        <f t="shared" si="20"/>
        <v>-70.407000766818484</v>
      </c>
      <c r="E49" s="53">
        <f t="shared" si="20"/>
        <v>-85.201485137230947</v>
      </c>
      <c r="F49" s="53">
        <f t="shared" si="20"/>
        <v>-75.086824353228621</v>
      </c>
      <c r="G49" s="53">
        <f t="shared" si="20"/>
        <v>-68.299991803407153</v>
      </c>
      <c r="H49" s="53">
        <f t="shared" si="20"/>
        <v>-76.212432832397539</v>
      </c>
      <c r="I49" s="53">
        <f t="shared" si="20"/>
        <v>-76.105313420497694</v>
      </c>
      <c r="J49" s="53">
        <f t="shared" si="20"/>
        <v>-97.38729600006026</v>
      </c>
      <c r="K49" s="53">
        <f t="shared" si="20"/>
        <v>-83.699548325093843</v>
      </c>
      <c r="L49" s="53">
        <f t="shared" si="20"/>
        <v>-82.862049489336684</v>
      </c>
      <c r="M49" s="53">
        <f t="shared" si="20"/>
        <v>-91.258123743341457</v>
      </c>
      <c r="N49" s="53">
        <f t="shared" si="20"/>
        <v>-101.19399330484516</v>
      </c>
      <c r="O49" s="53">
        <f t="shared" si="20"/>
        <v>-113.14138345136591</v>
      </c>
      <c r="P49" s="53">
        <f t="shared" si="20"/>
        <v>-94.290621381411654</v>
      </c>
      <c r="Q49" s="53">
        <f t="shared" si="20"/>
        <v>-127.36981151722313</v>
      </c>
      <c r="R49" s="53">
        <f t="shared" si="20"/>
        <v>-103.15941700902891</v>
      </c>
      <c r="S49" s="53">
        <f t="shared" si="20"/>
        <v>-90.168313871425468</v>
      </c>
      <c r="T49" s="53">
        <f t="shared" si="20"/>
        <v>-109.06978742847258</v>
      </c>
      <c r="U49" s="53">
        <f t="shared" si="20"/>
        <v>-88.392054014548535</v>
      </c>
      <c r="V49" s="54">
        <f t="shared" si="19"/>
        <v>-90.119497117231589</v>
      </c>
    </row>
    <row r="50" spans="1:22">
      <c r="A50" s="37" t="s">
        <v>353</v>
      </c>
      <c r="B50" s="53">
        <f t="shared" ref="B50:U50" si="21">B13-B44</f>
        <v>-88.509457639338564</v>
      </c>
      <c r="C50" s="53">
        <f t="shared" si="21"/>
        <v>-66.743255503294023</v>
      </c>
      <c r="D50" s="53">
        <f t="shared" si="21"/>
        <v>-55.947049032878738</v>
      </c>
      <c r="E50" s="53">
        <f t="shared" si="21"/>
        <v>-74.224296336956002</v>
      </c>
      <c r="F50" s="53">
        <f t="shared" si="21"/>
        <v>-64.290495137527756</v>
      </c>
      <c r="G50" s="53">
        <f t="shared" si="21"/>
        <v>-58.618190576055504</v>
      </c>
      <c r="H50" s="53">
        <f t="shared" si="21"/>
        <v>-66.417722305281885</v>
      </c>
      <c r="I50" s="53">
        <f t="shared" si="21"/>
        <v>-58.644801065033761</v>
      </c>
      <c r="J50" s="53">
        <f t="shared" si="21"/>
        <v>-79.304144257450488</v>
      </c>
      <c r="K50" s="53">
        <f t="shared" si="21"/>
        <v>-67.615082777315777</v>
      </c>
      <c r="L50" s="53">
        <f t="shared" si="21"/>
        <v>-59.553625040603848</v>
      </c>
      <c r="M50" s="53">
        <f t="shared" si="21"/>
        <v>-56.466009390389104</v>
      </c>
      <c r="N50" s="53">
        <f t="shared" si="21"/>
        <v>-81.366043817952331</v>
      </c>
      <c r="O50" s="53">
        <f t="shared" si="21"/>
        <v>-99.458770262788676</v>
      </c>
      <c r="P50" s="53">
        <f t="shared" si="21"/>
        <v>-68.698728798797589</v>
      </c>
      <c r="Q50" s="53">
        <f t="shared" si="21"/>
        <v>-97.826514422815038</v>
      </c>
      <c r="R50" s="53">
        <f t="shared" si="21"/>
        <v>-84.845069998885577</v>
      </c>
      <c r="S50" s="53">
        <f t="shared" si="21"/>
        <v>-61.506685499384432</v>
      </c>
      <c r="T50" s="53">
        <f t="shared" si="21"/>
        <v>-86.479470094283997</v>
      </c>
      <c r="U50" s="53">
        <f t="shared" si="21"/>
        <v>-64.486996337615679</v>
      </c>
      <c r="V50" s="54">
        <f t="shared" si="19"/>
        <v>-72.050120414732447</v>
      </c>
    </row>
    <row r="52" spans="1:22">
      <c r="B52" s="22">
        <f>B41/B10</f>
        <v>5.8216173494626018</v>
      </c>
      <c r="C52" s="22">
        <f t="shared" ref="C52:E52" si="22">C41/C10</f>
        <v>3.1716560291714275</v>
      </c>
      <c r="D52" s="22">
        <f t="shared" si="22"/>
        <v>1.8955970013023815</v>
      </c>
      <c r="E52" s="22">
        <f t="shared" si="22"/>
        <v>2.8342868602558253</v>
      </c>
      <c r="N52" s="4"/>
      <c r="O52" s="4"/>
    </row>
    <row r="53" spans="1:22">
      <c r="N53" s="4"/>
      <c r="O53" s="4"/>
    </row>
    <row r="54" spans="1:22">
      <c r="D54" s="21">
        <f>AVERAGE(B52:E52)</f>
        <v>3.4307893100480591</v>
      </c>
      <c r="N54" s="4"/>
      <c r="O54" s="4"/>
    </row>
    <row r="55" spans="1:22">
      <c r="N55" s="4"/>
      <c r="O55" s="4"/>
    </row>
    <row r="57" spans="1:22">
      <c r="C57" s="4"/>
    </row>
    <row r="58" spans="1:22">
      <c r="C58" s="4"/>
    </row>
    <row r="59" spans="1:22">
      <c r="C59" s="4"/>
    </row>
    <row r="60" spans="1:22">
      <c r="C60" s="4"/>
    </row>
    <row r="61" spans="1:22">
      <c r="C61" s="4"/>
    </row>
  </sheetData>
  <conditionalFormatting sqref="B47:V50">
    <cfRule type="cellIs" dxfId="1" priority="1" operator="greaterThan">
      <formula>0.1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B6C2-8E37-4609-A022-56BC14C75DCC}">
  <dimension ref="A1:Y7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X3" sqref="X3"/>
    </sheetView>
  </sheetViews>
  <sheetFormatPr defaultRowHeight="15"/>
  <cols>
    <col min="2" max="2" width="29.7109375" bestFit="1" customWidth="1"/>
    <col min="8" max="14" width="9.28515625" bestFit="1" customWidth="1"/>
    <col min="15" max="15" width="10.5703125" bestFit="1" customWidth="1"/>
    <col min="24" max="24" width="11" bestFit="1" customWidth="1"/>
    <col min="25" max="25" width="10.85546875" bestFit="1" customWidth="1"/>
  </cols>
  <sheetData>
    <row r="1" spans="1:25" ht="71.25">
      <c r="A1" s="16"/>
      <c r="B1" s="16"/>
      <c r="C1" s="17" t="s">
        <v>33</v>
      </c>
      <c r="D1" s="17" t="s">
        <v>16</v>
      </c>
      <c r="E1" s="17" t="s">
        <v>17</v>
      </c>
      <c r="F1" s="17" t="s">
        <v>18</v>
      </c>
      <c r="G1" s="17" t="s">
        <v>19</v>
      </c>
      <c r="H1" s="17" t="s">
        <v>20</v>
      </c>
      <c r="I1" s="17" t="s">
        <v>21</v>
      </c>
      <c r="J1" s="17" t="s">
        <v>22</v>
      </c>
      <c r="K1" s="17" t="s">
        <v>23</v>
      </c>
      <c r="L1" s="17" t="s">
        <v>24</v>
      </c>
      <c r="M1" s="17" t="s">
        <v>25</v>
      </c>
      <c r="N1" s="17" t="s">
        <v>26</v>
      </c>
      <c r="O1" s="17" t="s">
        <v>27</v>
      </c>
      <c r="P1" s="17" t="s">
        <v>28</v>
      </c>
      <c r="Q1" s="17" t="s">
        <v>34</v>
      </c>
      <c r="R1" s="17" t="s">
        <v>35</v>
      </c>
      <c r="S1" s="17" t="s">
        <v>29</v>
      </c>
      <c r="T1" s="17" t="s">
        <v>30</v>
      </c>
      <c r="U1" s="17" t="s">
        <v>31</v>
      </c>
      <c r="V1" s="17" t="s">
        <v>32</v>
      </c>
    </row>
    <row r="2" spans="1:25">
      <c r="A2" s="5" t="s">
        <v>1</v>
      </c>
      <c r="B2" s="5" t="s">
        <v>306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5">
      <c r="A3">
        <v>2022</v>
      </c>
      <c r="B3" t="s">
        <v>215</v>
      </c>
      <c r="C3">
        <v>3247.3</v>
      </c>
      <c r="D3">
        <v>3715.0999999999995</v>
      </c>
      <c r="E3">
        <v>3278.9</v>
      </c>
      <c r="F3">
        <v>3817.4</v>
      </c>
      <c r="G3">
        <v>2610.8000000000002</v>
      </c>
      <c r="H3">
        <v>2854.6</v>
      </c>
      <c r="I3">
        <v>2594.8000000000002</v>
      </c>
      <c r="J3">
        <v>3891.4</v>
      </c>
      <c r="K3">
        <v>2536.1999999999998</v>
      </c>
      <c r="L3">
        <v>2176</v>
      </c>
      <c r="M3">
        <v>4021.8</v>
      </c>
      <c r="N3">
        <v>3052.1000000000004</v>
      </c>
      <c r="O3">
        <v>3237.7</v>
      </c>
      <c r="P3">
        <v>1689</v>
      </c>
      <c r="Q3">
        <v>2599.9</v>
      </c>
      <c r="R3">
        <v>1565</v>
      </c>
      <c r="S3">
        <v>1553.8</v>
      </c>
      <c r="T3">
        <v>3377.8</v>
      </c>
      <c r="U3">
        <v>1437.6</v>
      </c>
      <c r="V3">
        <v>3500.6</v>
      </c>
      <c r="X3">
        <f>C3*(4046.86/2.5)/1000</f>
        <v>5256.5473912000007</v>
      </c>
      <c r="Y3">
        <f>C3*1.618744</f>
        <v>5256.5473911999998</v>
      </c>
    </row>
    <row r="4" spans="1:25">
      <c r="A4">
        <v>2022</v>
      </c>
      <c r="B4" t="s">
        <v>149</v>
      </c>
      <c r="C4" s="4">
        <f>'Crop Prices (2022-2024)'!J3</f>
        <v>4.502941705126124E-3</v>
      </c>
      <c r="D4" s="4">
        <f>'Crop Prices (2022-2024)'!J3</f>
        <v>4.502941705126124E-3</v>
      </c>
      <c r="E4" s="4">
        <f>'Crop Prices (2022-2024)'!J3</f>
        <v>4.502941705126124E-3</v>
      </c>
      <c r="F4" s="4">
        <f>'Crop Prices (2022-2024)'!J3</f>
        <v>4.502941705126124E-3</v>
      </c>
      <c r="G4" s="4">
        <f>'Crop Prices (2022-2024)'!J3</f>
        <v>4.502941705126124E-3</v>
      </c>
      <c r="H4" s="4">
        <f>'Crop Prices (2022-2024)'!J3</f>
        <v>4.502941705126124E-3</v>
      </c>
      <c r="I4" s="4">
        <f>'Crop Prices (2022-2024)'!J3</f>
        <v>4.502941705126124E-3</v>
      </c>
      <c r="J4" s="4">
        <f>'Crop Prices (2022-2024)'!J3</f>
        <v>4.502941705126124E-3</v>
      </c>
      <c r="K4" s="4">
        <f>'Crop Prices (2022-2024)'!J15</f>
        <v>7.2091159734454973E-3</v>
      </c>
      <c r="L4" s="4">
        <f>'Crop Prices (2022-2024)'!J15</f>
        <v>7.2091159734454973E-3</v>
      </c>
      <c r="M4" s="4">
        <f>'Crop Prices (2022-2024)'!J15</f>
        <v>7.2091159734454973E-3</v>
      </c>
      <c r="N4" s="4">
        <f>'Crop Prices (2022-2024)'!J15</f>
        <v>7.2091159734454973E-3</v>
      </c>
      <c r="O4" s="4">
        <f>'Crop Prices (2022-2024)'!J15</f>
        <v>7.2091159734454973E-3</v>
      </c>
      <c r="P4" s="4">
        <f>'Crop Prices (2022-2024)'!J15</f>
        <v>7.2091159734454973E-3</v>
      </c>
      <c r="Q4" s="4">
        <f>'Crop Prices (2022-2024)'!J15</f>
        <v>7.2091159734454973E-3</v>
      </c>
      <c r="R4" s="4">
        <f>'Crop Prices (2022-2024)'!J15</f>
        <v>7.2091159734454973E-3</v>
      </c>
      <c r="S4" s="4">
        <f>'Crop Prices (2022-2024)'!J15</f>
        <v>7.2091159734454973E-3</v>
      </c>
      <c r="T4" s="4">
        <f>'Crop Prices (2022-2024)'!J15</f>
        <v>7.2091159734454973E-3</v>
      </c>
      <c r="U4" s="4">
        <f>'Crop Prices (2022-2024)'!J15</f>
        <v>7.2091159734454973E-3</v>
      </c>
      <c r="V4" s="4">
        <f>'Crop Prices (2022-2024)'!J15</f>
        <v>7.2091159734454973E-3</v>
      </c>
    </row>
    <row r="5" spans="1:25">
      <c r="A5" s="2">
        <v>2022</v>
      </c>
      <c r="B5" s="2" t="s">
        <v>216</v>
      </c>
      <c r="C5" s="20">
        <f>C3*C4</f>
        <v>14.622402599056063</v>
      </c>
      <c r="D5" s="20">
        <f t="shared" ref="D5:V5" si="0">D3*D4</f>
        <v>16.728878728714061</v>
      </c>
      <c r="E5" s="20">
        <f t="shared" si="0"/>
        <v>14.764695556938049</v>
      </c>
      <c r="F5" s="20">
        <f t="shared" si="0"/>
        <v>17.189529665148466</v>
      </c>
      <c r="G5" s="20">
        <f t="shared" si="0"/>
        <v>11.756280203743286</v>
      </c>
      <c r="H5" s="20">
        <f t="shared" si="0"/>
        <v>12.854097391453033</v>
      </c>
      <c r="I5" s="20">
        <f t="shared" si="0"/>
        <v>11.684233136461268</v>
      </c>
      <c r="J5" s="20">
        <f t="shared" si="0"/>
        <v>17.522747351327798</v>
      </c>
      <c r="K5" s="20">
        <f t="shared" si="0"/>
        <v>18.283759931852469</v>
      </c>
      <c r="L5" s="20">
        <f t="shared" si="0"/>
        <v>15.687036358217401</v>
      </c>
      <c r="M5" s="20">
        <f t="shared" si="0"/>
        <v>28.993622622003102</v>
      </c>
      <c r="N5" s="20">
        <f t="shared" si="0"/>
        <v>22.002942862553006</v>
      </c>
      <c r="O5" s="20">
        <f t="shared" si="0"/>
        <v>23.340954787224486</v>
      </c>
      <c r="P5" s="20">
        <f t="shared" si="0"/>
        <v>12.176196879149446</v>
      </c>
      <c r="Q5" s="20">
        <f t="shared" si="0"/>
        <v>18.742980619360949</v>
      </c>
      <c r="R5" s="20">
        <f t="shared" si="0"/>
        <v>11.282266498442203</v>
      </c>
      <c r="S5" s="20">
        <f t="shared" si="0"/>
        <v>11.201524399539613</v>
      </c>
      <c r="T5" s="20">
        <f t="shared" si="0"/>
        <v>24.350951935104202</v>
      </c>
      <c r="U5" s="20">
        <f t="shared" si="0"/>
        <v>10.363825123425245</v>
      </c>
      <c r="V5" s="20">
        <f t="shared" si="0"/>
        <v>25.236231376643307</v>
      </c>
    </row>
    <row r="6" spans="1:25">
      <c r="A6">
        <v>2023</v>
      </c>
      <c r="B6" t="s">
        <v>215</v>
      </c>
      <c r="C6">
        <v>4597.3</v>
      </c>
      <c r="D6">
        <v>5548.2000000000007</v>
      </c>
      <c r="E6">
        <v>7776.3</v>
      </c>
      <c r="F6">
        <v>4944.3999999999996</v>
      </c>
      <c r="G6">
        <v>4342.5</v>
      </c>
      <c r="H6">
        <v>7257.2999999999993</v>
      </c>
      <c r="I6">
        <v>6263.2</v>
      </c>
      <c r="J6">
        <v>6946.6</v>
      </c>
      <c r="K6">
        <v>4710.8999999999996</v>
      </c>
      <c r="L6">
        <v>4455.5</v>
      </c>
      <c r="M6">
        <v>6886.8</v>
      </c>
      <c r="N6">
        <v>5338.5</v>
      </c>
      <c r="O6">
        <v>7562.4999999999991</v>
      </c>
      <c r="P6">
        <v>5322.5999999999995</v>
      </c>
      <c r="Q6">
        <v>6259</v>
      </c>
      <c r="R6">
        <v>5300.6</v>
      </c>
      <c r="S6">
        <v>5099.8</v>
      </c>
      <c r="T6">
        <v>5608.4000000000015</v>
      </c>
      <c r="U6">
        <v>6142.9000000000005</v>
      </c>
      <c r="V6">
        <v>7099.4999999999991</v>
      </c>
    </row>
    <row r="7" spans="1:25">
      <c r="A7">
        <v>2023</v>
      </c>
      <c r="B7" t="s">
        <v>149</v>
      </c>
      <c r="C7" s="4">
        <f>'Crop Prices (2022-2024)'!J4</f>
        <v>4.7674964197479772E-3</v>
      </c>
      <c r="D7" s="4">
        <f>'Crop Prices (2022-2024)'!J4</f>
        <v>4.7674964197479772E-3</v>
      </c>
      <c r="E7" s="4">
        <f>'Crop Prices (2022-2024)'!J4</f>
        <v>4.7674964197479772E-3</v>
      </c>
      <c r="F7" s="4">
        <f>'Crop Prices (2022-2024)'!J4</f>
        <v>4.7674964197479772E-3</v>
      </c>
      <c r="G7" s="4">
        <f>'Crop Prices (2022-2024)'!J4</f>
        <v>4.7674964197479772E-3</v>
      </c>
      <c r="H7" s="4">
        <f>'Crop Prices (2022-2024)'!J4</f>
        <v>4.7674964197479772E-3</v>
      </c>
      <c r="I7" s="4">
        <f>'Crop Prices (2022-2024)'!J4</f>
        <v>4.7674964197479772E-3</v>
      </c>
      <c r="J7" s="4">
        <f>'Crop Prices (2022-2024)'!J4</f>
        <v>4.7674964197479772E-3</v>
      </c>
      <c r="K7" s="4">
        <f>'Crop Prices (2022-2024)'!J16</f>
        <v>7.8815258731093733E-3</v>
      </c>
      <c r="L7" s="4">
        <f>'Crop Prices (2022-2024)'!J16</f>
        <v>7.8815258731093733E-3</v>
      </c>
      <c r="M7" s="4">
        <f>'Crop Prices (2022-2024)'!J16</f>
        <v>7.8815258731093733E-3</v>
      </c>
      <c r="N7" s="4">
        <f>'Crop Prices (2022-2024)'!J16</f>
        <v>7.8815258731093733E-3</v>
      </c>
      <c r="O7" s="4">
        <f>'Crop Prices (2022-2024)'!J16</f>
        <v>7.8815258731093733E-3</v>
      </c>
      <c r="P7" s="4">
        <f>'Crop Prices (2022-2024)'!J16</f>
        <v>7.8815258731093733E-3</v>
      </c>
      <c r="Q7" s="4">
        <f>'Crop Prices (2022-2024)'!J16</f>
        <v>7.8815258731093733E-3</v>
      </c>
      <c r="R7" s="4">
        <f>'Crop Prices (2022-2024)'!J16</f>
        <v>7.8815258731093733E-3</v>
      </c>
      <c r="S7" s="4">
        <f>'Crop Prices (2022-2024)'!J16</f>
        <v>7.8815258731093733E-3</v>
      </c>
      <c r="T7" s="4">
        <f>'Crop Prices (2022-2024)'!J16</f>
        <v>7.8815258731093733E-3</v>
      </c>
      <c r="U7" s="4">
        <f>'Crop Prices (2022-2024)'!J16</f>
        <v>7.8815258731093733E-3</v>
      </c>
      <c r="V7" s="4">
        <f>'Crop Prices (2022-2024)'!J16</f>
        <v>7.8815258731093733E-3</v>
      </c>
    </row>
    <row r="8" spans="1:25">
      <c r="A8" s="2">
        <v>2023</v>
      </c>
      <c r="B8" s="2" t="s">
        <v>216</v>
      </c>
      <c r="C8" s="20">
        <f>C6*C7</f>
        <v>21.917611290507377</v>
      </c>
      <c r="D8" s="20">
        <f t="shared" ref="D8:V8" si="1">D6*D7</f>
        <v>26.451023636045729</v>
      </c>
      <c r="E8" s="20">
        <f t="shared" si="1"/>
        <v>37.073482408886193</v>
      </c>
      <c r="F8" s="20">
        <f t="shared" si="1"/>
        <v>23.572409297801897</v>
      </c>
      <c r="G8" s="20">
        <f t="shared" si="1"/>
        <v>20.702853202755591</v>
      </c>
      <c r="H8" s="20">
        <f t="shared" si="1"/>
        <v>34.599151767036993</v>
      </c>
      <c r="I8" s="20">
        <f t="shared" si="1"/>
        <v>29.85978357616553</v>
      </c>
      <c r="J8" s="20">
        <f t="shared" si="1"/>
        <v>33.117890629421304</v>
      </c>
      <c r="K8" s="20">
        <f>K6*K7</f>
        <v>37.129080235630944</v>
      </c>
      <c r="L8" s="20">
        <f t="shared" si="1"/>
        <v>35.11613852763881</v>
      </c>
      <c r="M8" s="20">
        <f t="shared" si="1"/>
        <v>54.278492382929635</v>
      </c>
      <c r="N8" s="20">
        <f t="shared" si="1"/>
        <v>42.075525873594387</v>
      </c>
      <c r="O8" s="20">
        <f t="shared" si="1"/>
        <v>59.604039415389629</v>
      </c>
      <c r="P8" s="20">
        <f t="shared" si="1"/>
        <v>41.95020961221195</v>
      </c>
      <c r="Q8" s="20">
        <f t="shared" si="1"/>
        <v>49.330470439791569</v>
      </c>
      <c r="R8" s="20">
        <f t="shared" si="1"/>
        <v>41.776816043003549</v>
      </c>
      <c r="S8" s="20">
        <f t="shared" si="1"/>
        <v>40.194205647683184</v>
      </c>
      <c r="T8" s="20">
        <f t="shared" si="1"/>
        <v>44.202749706746623</v>
      </c>
      <c r="U8" s="20">
        <f t="shared" si="1"/>
        <v>48.415425285923575</v>
      </c>
      <c r="V8" s="20">
        <f t="shared" si="1"/>
        <v>55.954892936139991</v>
      </c>
    </row>
    <row r="9" spans="1:25">
      <c r="A9">
        <v>2024</v>
      </c>
      <c r="B9" t="s">
        <v>215</v>
      </c>
      <c r="C9">
        <v>912</v>
      </c>
      <c r="D9">
        <v>2653.8</v>
      </c>
      <c r="E9">
        <v>5381.0999999999995</v>
      </c>
      <c r="F9">
        <v>4159.8999999999996</v>
      </c>
      <c r="G9">
        <v>3708</v>
      </c>
      <c r="H9">
        <v>3844.7</v>
      </c>
      <c r="I9">
        <v>3178.7000000000003</v>
      </c>
      <c r="J9">
        <v>6492.1</v>
      </c>
      <c r="K9">
        <v>1802.8</v>
      </c>
      <c r="L9">
        <v>2525</v>
      </c>
      <c r="M9">
        <v>5394.5</v>
      </c>
      <c r="N9">
        <v>5439.1</v>
      </c>
      <c r="O9">
        <v>5200.8</v>
      </c>
      <c r="P9">
        <v>3831.4</v>
      </c>
      <c r="Q9">
        <v>5913.1</v>
      </c>
      <c r="R9">
        <v>6022.8</v>
      </c>
      <c r="S9">
        <v>3564.5</v>
      </c>
      <c r="T9">
        <v>5283.4</v>
      </c>
      <c r="U9">
        <v>4165.6000000000004</v>
      </c>
      <c r="V9">
        <v>5637.7</v>
      </c>
    </row>
    <row r="10" spans="1:25">
      <c r="A10">
        <v>2024</v>
      </c>
      <c r="B10" t="s">
        <v>149</v>
      </c>
      <c r="C10" s="4">
        <f>'Crop Prices (2022-2024)'!J5</f>
        <v>4.9052853336135262E-3</v>
      </c>
      <c r="D10" s="4">
        <f>'Crop Prices (2022-2024)'!J5</f>
        <v>4.9052853336135262E-3</v>
      </c>
      <c r="E10" s="4">
        <f>'Crop Prices (2022-2024)'!J5</f>
        <v>4.9052853336135262E-3</v>
      </c>
      <c r="F10" s="4">
        <f>'Crop Prices (2022-2024)'!J5</f>
        <v>4.9052853336135262E-3</v>
      </c>
      <c r="G10" s="4">
        <f>'Crop Prices (2022-2024)'!J5</f>
        <v>4.9052853336135262E-3</v>
      </c>
      <c r="H10" s="4">
        <f>'Crop Prices (2022-2024)'!J5</f>
        <v>4.9052853336135262E-3</v>
      </c>
      <c r="I10" s="4">
        <f>'Crop Prices (2022-2024)'!J5</f>
        <v>4.9052853336135262E-3</v>
      </c>
      <c r="J10" s="4">
        <f>'Crop Prices (2022-2024)'!J5</f>
        <v>4.9052853336135262E-3</v>
      </c>
      <c r="K10" s="4">
        <f>'Crop Prices (2022-2024)'!J17</f>
        <v>6.5918216393278392E-3</v>
      </c>
      <c r="L10" s="4">
        <f>'Crop Prices (2022-2024)'!J17</f>
        <v>6.5918216393278392E-3</v>
      </c>
      <c r="M10" s="4">
        <f>'Crop Prices (2022-2024)'!J17</f>
        <v>6.5918216393278392E-3</v>
      </c>
      <c r="N10" s="4">
        <f>'Crop Prices (2022-2024)'!J17</f>
        <v>6.5918216393278392E-3</v>
      </c>
      <c r="O10" s="4">
        <f>'Crop Prices (2022-2024)'!J17</f>
        <v>6.5918216393278392E-3</v>
      </c>
      <c r="P10" s="4">
        <f>'Crop Prices (2022-2024)'!J17</f>
        <v>6.5918216393278392E-3</v>
      </c>
      <c r="Q10" s="4">
        <f>'Crop Prices (2022-2024)'!J17</f>
        <v>6.5918216393278392E-3</v>
      </c>
      <c r="R10" s="4">
        <f>'Crop Prices (2022-2024)'!J17</f>
        <v>6.5918216393278392E-3</v>
      </c>
      <c r="S10" s="4">
        <f>'Crop Prices (2022-2024)'!J17</f>
        <v>6.5918216393278392E-3</v>
      </c>
      <c r="T10" s="4">
        <f>'Crop Prices (2022-2024)'!J17</f>
        <v>6.5918216393278392E-3</v>
      </c>
      <c r="U10" s="4">
        <f>'Crop Prices (2022-2024)'!J17</f>
        <v>6.5918216393278392E-3</v>
      </c>
      <c r="V10" s="4">
        <f>'Crop Prices (2022-2024)'!J17</f>
        <v>6.5918216393278392E-3</v>
      </c>
    </row>
    <row r="11" spans="1:25">
      <c r="A11" s="2">
        <v>2024</v>
      </c>
      <c r="B11" s="2" t="s">
        <v>216</v>
      </c>
      <c r="C11" s="20">
        <f>C9*C10</f>
        <v>4.4736202242555363</v>
      </c>
      <c r="D11" s="20">
        <f t="shared" ref="D11:V11" si="2">D9*D10</f>
        <v>13.017646218343577</v>
      </c>
      <c r="E11" s="20">
        <f t="shared" si="2"/>
        <v>26.395830908707744</v>
      </c>
      <c r="F11" s="20">
        <f t="shared" si="2"/>
        <v>20.405496459298906</v>
      </c>
      <c r="G11" s="20">
        <f t="shared" si="2"/>
        <v>18.188798017038955</v>
      </c>
      <c r="H11" s="20">
        <f t="shared" si="2"/>
        <v>18.859350522143924</v>
      </c>
      <c r="I11" s="20">
        <f t="shared" si="2"/>
        <v>15.592430489957318</v>
      </c>
      <c r="J11" s="20">
        <f t="shared" si="2"/>
        <v>31.845602914352376</v>
      </c>
      <c r="K11" s="20">
        <f t="shared" si="2"/>
        <v>11.883736051380229</v>
      </c>
      <c r="L11" s="20">
        <f t="shared" si="2"/>
        <v>16.644349639302796</v>
      </c>
      <c r="M11" s="20">
        <f t="shared" si="2"/>
        <v>35.559581833354031</v>
      </c>
      <c r="N11" s="20">
        <f t="shared" si="2"/>
        <v>35.853577078468049</v>
      </c>
      <c r="O11" s="20">
        <f t="shared" si="2"/>
        <v>34.282745981816227</v>
      </c>
      <c r="P11" s="20">
        <f t="shared" si="2"/>
        <v>25.255905428920684</v>
      </c>
      <c r="Q11" s="20">
        <f t="shared" si="2"/>
        <v>38.978100535509448</v>
      </c>
      <c r="R11" s="20">
        <f t="shared" si="2"/>
        <v>39.701223369343708</v>
      </c>
      <c r="S11" s="20">
        <f t="shared" si="2"/>
        <v>23.496548233384082</v>
      </c>
      <c r="T11" s="20">
        <f t="shared" si="2"/>
        <v>34.8272304492247</v>
      </c>
      <c r="U11" s="20">
        <f t="shared" si="2"/>
        <v>27.458892220784051</v>
      </c>
      <c r="V11" s="20">
        <f t="shared" si="2"/>
        <v>37.16271285603856</v>
      </c>
    </row>
    <row r="12" spans="1:25">
      <c r="A12" s="5"/>
      <c r="B12" s="5" t="s">
        <v>150</v>
      </c>
      <c r="C12" s="7">
        <f>C5+C8+C11</f>
        <v>41.013634113818974</v>
      </c>
      <c r="D12" s="7">
        <f t="shared" ref="D12:V12" si="3">D5+D8+D11</f>
        <v>56.197548583103369</v>
      </c>
      <c r="E12" s="7">
        <f t="shared" si="3"/>
        <v>78.23400887453198</v>
      </c>
      <c r="F12" s="7">
        <f t="shared" si="3"/>
        <v>61.16743542224927</v>
      </c>
      <c r="G12" s="7">
        <f t="shared" si="3"/>
        <v>50.647931423537834</v>
      </c>
      <c r="H12" s="7">
        <f t="shared" si="3"/>
        <v>66.312599680633951</v>
      </c>
      <c r="I12" s="7">
        <f t="shared" si="3"/>
        <v>57.136447202584115</v>
      </c>
      <c r="J12" s="7">
        <f t="shared" si="3"/>
        <v>82.486240895101474</v>
      </c>
      <c r="K12" s="7">
        <f t="shared" si="3"/>
        <v>67.296576218863635</v>
      </c>
      <c r="L12" s="7">
        <f t="shared" si="3"/>
        <v>67.447524525158997</v>
      </c>
      <c r="M12" s="7">
        <f t="shared" si="3"/>
        <v>118.83169683828677</v>
      </c>
      <c r="N12" s="7">
        <f t="shared" si="3"/>
        <v>99.932045814615435</v>
      </c>
      <c r="O12" s="7">
        <f t="shared" si="3"/>
        <v>117.22774018443033</v>
      </c>
      <c r="P12" s="7">
        <f t="shared" si="3"/>
        <v>79.382311920282078</v>
      </c>
      <c r="Q12" s="7">
        <f t="shared" si="3"/>
        <v>107.05155159466196</v>
      </c>
      <c r="R12" s="7">
        <f t="shared" si="3"/>
        <v>92.760305910789469</v>
      </c>
      <c r="S12" s="7">
        <f t="shared" si="3"/>
        <v>74.892278280606888</v>
      </c>
      <c r="T12" s="7">
        <f t="shared" si="3"/>
        <v>103.38093209107552</v>
      </c>
      <c r="U12" s="7">
        <f t="shared" si="3"/>
        <v>86.23814263013287</v>
      </c>
      <c r="V12" s="7">
        <f t="shared" si="3"/>
        <v>118.35383716882185</v>
      </c>
    </row>
    <row r="14" spans="1:25">
      <c r="A14" s="5" t="s">
        <v>1</v>
      </c>
      <c r="B14" s="5" t="s">
        <v>309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5">
      <c r="A15">
        <v>2022</v>
      </c>
      <c r="B15" t="s">
        <v>217</v>
      </c>
      <c r="C15">
        <v>1689.2</v>
      </c>
      <c r="D15">
        <v>4814.5</v>
      </c>
      <c r="E15">
        <v>1862.1</v>
      </c>
      <c r="F15">
        <v>4125.3</v>
      </c>
      <c r="G15">
        <v>3185.6</v>
      </c>
      <c r="H15">
        <v>2558.4999999999995</v>
      </c>
      <c r="I15">
        <v>4424.3</v>
      </c>
      <c r="J15">
        <v>2473.9</v>
      </c>
      <c r="K15">
        <v>1919.1999999999998</v>
      </c>
      <c r="L15">
        <v>2085.1999999999998</v>
      </c>
      <c r="M15">
        <v>3142.1000000000004</v>
      </c>
      <c r="N15">
        <v>1884.5</v>
      </c>
      <c r="O15">
        <v>2724.2</v>
      </c>
      <c r="P15">
        <v>2435.8999999999996</v>
      </c>
      <c r="Q15">
        <v>2611.1999999999998</v>
      </c>
      <c r="R15">
        <v>1262</v>
      </c>
      <c r="S15">
        <v>1445.6999999999998</v>
      </c>
      <c r="T15">
        <v>2696.2</v>
      </c>
      <c r="U15">
        <v>1995.1999999999998</v>
      </c>
      <c r="V15">
        <v>3023.2999999999997</v>
      </c>
    </row>
    <row r="16" spans="1:25">
      <c r="A16">
        <v>2022</v>
      </c>
      <c r="B16" t="s">
        <v>152</v>
      </c>
      <c r="C16" s="4">
        <f>'Crop Prices (2022-2024)'!$J$6</f>
        <v>1.7802327671428864E-3</v>
      </c>
      <c r="D16" s="4">
        <f>'Crop Prices (2022-2024)'!$J$6</f>
        <v>1.7802327671428864E-3</v>
      </c>
      <c r="E16" s="4">
        <f>'Crop Prices (2022-2024)'!$J$6</f>
        <v>1.7802327671428864E-3</v>
      </c>
      <c r="F16" s="4">
        <f>'Crop Prices (2022-2024)'!$J$6</f>
        <v>1.7802327671428864E-3</v>
      </c>
      <c r="G16" s="4">
        <f>'Crop Prices (2022-2024)'!$J$6</f>
        <v>1.7802327671428864E-3</v>
      </c>
      <c r="H16" s="4">
        <f>'Crop Prices (2022-2024)'!$J$6</f>
        <v>1.7802327671428864E-3</v>
      </c>
      <c r="I16" s="4">
        <f>'Crop Prices (2022-2024)'!$J$6</f>
        <v>1.7802327671428864E-3</v>
      </c>
      <c r="J16" s="4">
        <f>'Crop Prices (2022-2024)'!$J$6</f>
        <v>1.7802327671428864E-3</v>
      </c>
      <c r="K16" s="4">
        <f>'Crop Prices (2022-2024)'!$J$18</f>
        <v>4.5944335439328486E-3</v>
      </c>
      <c r="L16" s="4">
        <f>'Crop Prices (2022-2024)'!$J$18</f>
        <v>4.5944335439328486E-3</v>
      </c>
      <c r="M16" s="4">
        <f>'Crop Prices (2022-2024)'!$J$18</f>
        <v>4.5944335439328486E-3</v>
      </c>
      <c r="N16" s="4">
        <f>'Crop Prices (2022-2024)'!$J$18</f>
        <v>4.5944335439328486E-3</v>
      </c>
      <c r="O16" s="4">
        <f>'Crop Prices (2022-2024)'!$J$18</f>
        <v>4.5944335439328486E-3</v>
      </c>
      <c r="P16" s="4">
        <f>'Crop Prices (2022-2024)'!$J$18</f>
        <v>4.5944335439328486E-3</v>
      </c>
      <c r="Q16" s="4">
        <f>'Crop Prices (2022-2024)'!$J$18</f>
        <v>4.5944335439328486E-3</v>
      </c>
      <c r="R16" s="4">
        <f>'Crop Prices (2022-2024)'!$J$18</f>
        <v>4.5944335439328486E-3</v>
      </c>
      <c r="S16" s="4">
        <f>'Crop Prices (2022-2024)'!$J$18</f>
        <v>4.5944335439328486E-3</v>
      </c>
      <c r="T16" s="4">
        <f>'Crop Prices (2022-2024)'!$J$18</f>
        <v>4.5944335439328486E-3</v>
      </c>
      <c r="U16" s="4">
        <f>'Crop Prices (2022-2024)'!$J$18</f>
        <v>4.5944335439328486E-3</v>
      </c>
      <c r="V16" s="4">
        <f>'Crop Prices (2022-2024)'!$J$18</f>
        <v>4.5944335439328486E-3</v>
      </c>
    </row>
    <row r="17" spans="1:22">
      <c r="A17" s="2">
        <v>2022</v>
      </c>
      <c r="B17" s="2" t="s">
        <v>218</v>
      </c>
      <c r="C17" s="20">
        <f>C15*C16</f>
        <v>3.007169190257764</v>
      </c>
      <c r="D17" s="20">
        <f t="shared" ref="D17" si="4">D15*D16</f>
        <v>8.5709306574094271</v>
      </c>
      <c r="E17" s="20">
        <f t="shared" ref="E17" si="5">E15*E16</f>
        <v>3.3149714356967688</v>
      </c>
      <c r="F17" s="20">
        <f t="shared" ref="F17" si="6">F15*F16</f>
        <v>7.3439942342945495</v>
      </c>
      <c r="G17" s="20">
        <f t="shared" ref="G17" si="7">G15*G16</f>
        <v>5.6711095030103786</v>
      </c>
      <c r="H17" s="20">
        <f t="shared" ref="H17" si="8">H15*H16</f>
        <v>4.5547255347350744</v>
      </c>
      <c r="I17" s="20">
        <f t="shared" ref="I17" si="9">I15*I16</f>
        <v>7.876283831670273</v>
      </c>
      <c r="J17" s="20">
        <f t="shared" ref="J17" si="10">J15*J16</f>
        <v>4.4041178426347871</v>
      </c>
      <c r="K17" s="20">
        <f t="shared" ref="K17" si="11">K15*K16</f>
        <v>8.8176368575159216</v>
      </c>
      <c r="L17" s="20">
        <f t="shared" ref="L17" si="12">L15*L16</f>
        <v>9.5803128258087753</v>
      </c>
      <c r="M17" s="20">
        <f t="shared" ref="M17" si="13">M15*M16</f>
        <v>14.436169638391405</v>
      </c>
      <c r="N17" s="20">
        <f t="shared" ref="N17" si="14">N15*N16</f>
        <v>8.6582100135414528</v>
      </c>
      <c r="O17" s="20">
        <f t="shared" ref="O17" si="15">O15*O16</f>
        <v>12.516155860381865</v>
      </c>
      <c r="P17" s="20">
        <f t="shared" ref="P17" si="16">P15*P16</f>
        <v>11.191580669666024</v>
      </c>
      <c r="Q17" s="20">
        <f t="shared" ref="Q17" si="17">Q15*Q16</f>
        <v>11.996984869917453</v>
      </c>
      <c r="R17" s="20">
        <f t="shared" ref="R17" si="18">R15*R16</f>
        <v>5.7981751324432551</v>
      </c>
      <c r="S17" s="20">
        <f t="shared" ref="S17" si="19">S15*S16</f>
        <v>6.6421725744637188</v>
      </c>
      <c r="T17" s="20">
        <f t="shared" ref="T17" si="20">T15*T16</f>
        <v>12.387511721151746</v>
      </c>
      <c r="U17" s="20">
        <f t="shared" ref="U17" si="21">U15*U16</f>
        <v>9.1668138068548188</v>
      </c>
      <c r="V17" s="20">
        <f t="shared" ref="V17" si="22">V15*V16</f>
        <v>13.890350933372179</v>
      </c>
    </row>
    <row r="18" spans="1:22">
      <c r="A18">
        <v>2023</v>
      </c>
      <c r="B18" t="s">
        <v>217</v>
      </c>
      <c r="C18">
        <v>3881.2</v>
      </c>
      <c r="D18">
        <v>6626.1999999999989</v>
      </c>
      <c r="E18">
        <v>7038.2000000000007</v>
      </c>
      <c r="F18">
        <v>5829.2</v>
      </c>
      <c r="G18">
        <v>6182.4</v>
      </c>
      <c r="H18">
        <v>4988.8999999999996</v>
      </c>
      <c r="I18">
        <v>4164</v>
      </c>
      <c r="J18">
        <v>6127.5</v>
      </c>
      <c r="K18">
        <v>5154.3</v>
      </c>
      <c r="L18">
        <v>3988.7999999999997</v>
      </c>
      <c r="M18">
        <v>7913</v>
      </c>
      <c r="N18">
        <v>6661.4</v>
      </c>
      <c r="O18">
        <v>5642.2</v>
      </c>
      <c r="P18">
        <v>4229</v>
      </c>
      <c r="Q18">
        <v>7467.5</v>
      </c>
      <c r="R18">
        <v>6915.1</v>
      </c>
      <c r="S18">
        <v>5475.2999999999993</v>
      </c>
      <c r="T18">
        <v>5296.8</v>
      </c>
      <c r="U18">
        <v>5344.2999999999993</v>
      </c>
      <c r="V18">
        <v>4564.2</v>
      </c>
    </row>
    <row r="19" spans="1:22">
      <c r="A19">
        <v>2023</v>
      </c>
      <c r="B19" t="s">
        <v>152</v>
      </c>
      <c r="C19" s="4">
        <f>'Crop Prices (2022-2024)'!$J$7</f>
        <v>2.049196727008437E-3</v>
      </c>
      <c r="D19" s="4">
        <f>'Crop Prices (2022-2024)'!$J$7</f>
        <v>2.049196727008437E-3</v>
      </c>
      <c r="E19" s="4">
        <f>'Crop Prices (2022-2024)'!$J$7</f>
        <v>2.049196727008437E-3</v>
      </c>
      <c r="F19" s="4">
        <f>'Crop Prices (2022-2024)'!$J$7</f>
        <v>2.049196727008437E-3</v>
      </c>
      <c r="G19" s="4">
        <f>'Crop Prices (2022-2024)'!$J$7</f>
        <v>2.049196727008437E-3</v>
      </c>
      <c r="H19" s="4">
        <f>'Crop Prices (2022-2024)'!$J$7</f>
        <v>2.049196727008437E-3</v>
      </c>
      <c r="I19" s="4">
        <f>'Crop Prices (2022-2024)'!$J$7</f>
        <v>2.049196727008437E-3</v>
      </c>
      <c r="J19" s="4">
        <f>'Crop Prices (2022-2024)'!$J$7</f>
        <v>2.049196727008437E-3</v>
      </c>
      <c r="K19" s="4">
        <f>'Crop Prices (2022-2024)'!$J$19</f>
        <v>5.1852724065883206E-3</v>
      </c>
      <c r="L19" s="4">
        <f>'Crop Prices (2022-2024)'!$J$19</f>
        <v>5.1852724065883206E-3</v>
      </c>
      <c r="M19" s="4">
        <f>'Crop Prices (2022-2024)'!$J$19</f>
        <v>5.1852724065883206E-3</v>
      </c>
      <c r="N19" s="4">
        <f>'Crop Prices (2022-2024)'!$J$19</f>
        <v>5.1852724065883206E-3</v>
      </c>
      <c r="O19" s="4">
        <f>'Crop Prices (2022-2024)'!$J$19</f>
        <v>5.1852724065883206E-3</v>
      </c>
      <c r="P19" s="4">
        <f>'Crop Prices (2022-2024)'!$J$19</f>
        <v>5.1852724065883206E-3</v>
      </c>
      <c r="Q19" s="4">
        <f>'Crop Prices (2022-2024)'!$J$19</f>
        <v>5.1852724065883206E-3</v>
      </c>
      <c r="R19" s="4">
        <f>'Crop Prices (2022-2024)'!$J$19</f>
        <v>5.1852724065883206E-3</v>
      </c>
      <c r="S19" s="4">
        <f>'Crop Prices (2022-2024)'!$J$19</f>
        <v>5.1852724065883206E-3</v>
      </c>
      <c r="T19" s="4">
        <f>'Crop Prices (2022-2024)'!$J$19</f>
        <v>5.1852724065883206E-3</v>
      </c>
      <c r="U19" s="4">
        <f>'Crop Prices (2022-2024)'!$J$19</f>
        <v>5.1852724065883206E-3</v>
      </c>
      <c r="V19" s="4">
        <f>'Crop Prices (2022-2024)'!$J$19</f>
        <v>5.1852724065883206E-3</v>
      </c>
    </row>
    <row r="20" spans="1:22">
      <c r="A20" s="2">
        <v>2023</v>
      </c>
      <c r="B20" s="2" t="s">
        <v>218</v>
      </c>
      <c r="C20" s="20">
        <f>C18*C19</f>
        <v>7.9533423368651457</v>
      </c>
      <c r="D20" s="20">
        <f t="shared" ref="D20" si="23">D18*D19</f>
        <v>13.578387352503304</v>
      </c>
      <c r="E20" s="20">
        <f t="shared" ref="E20" si="24">E18*E19</f>
        <v>14.422656404030784</v>
      </c>
      <c r="F20" s="20">
        <f t="shared" ref="F20" si="25">F18*F19</f>
        <v>11.94517756107758</v>
      </c>
      <c r="G20" s="20">
        <f t="shared" ref="G20" si="26">G18*G19</f>
        <v>12.66895384505696</v>
      </c>
      <c r="H20" s="20">
        <f t="shared" ref="H20" si="27">H18*H19</f>
        <v>10.223237551372391</v>
      </c>
      <c r="I20" s="20">
        <f t="shared" ref="I20" si="28">I18*I19</f>
        <v>8.5328551712631313</v>
      </c>
      <c r="J20" s="20">
        <f t="shared" ref="J20" si="29">J18*J19</f>
        <v>12.556452944744198</v>
      </c>
      <c r="K20" s="20">
        <f t="shared" ref="K20" si="30">K18*K19</f>
        <v>26.72644956527818</v>
      </c>
      <c r="L20" s="20">
        <f t="shared" ref="L20" si="31">L18*L19</f>
        <v>20.683014575399493</v>
      </c>
      <c r="M20" s="20">
        <f t="shared" ref="M20" si="32">M18*M19</f>
        <v>41.031060553333383</v>
      </c>
      <c r="N20" s="20">
        <f t="shared" ref="N20" si="33">N18*N19</f>
        <v>34.541173609247437</v>
      </c>
      <c r="O20" s="20">
        <f t="shared" ref="O20" si="34">O18*O19</f>
        <v>29.256343972452623</v>
      </c>
      <c r="P20" s="20">
        <f t="shared" ref="P20" si="35">P18*P19</f>
        <v>21.928517007462009</v>
      </c>
      <c r="Q20" s="20">
        <f t="shared" ref="Q20" si="36">Q18*Q19</f>
        <v>38.721021696198285</v>
      </c>
      <c r="R20" s="20">
        <f t="shared" ref="R20" si="37">R18*R19</f>
        <v>35.8566772187989</v>
      </c>
      <c r="S20" s="20">
        <f t="shared" ref="S20" si="38">S18*S19</f>
        <v>28.390922007793026</v>
      </c>
      <c r="T20" s="20">
        <f t="shared" ref="T20" si="39">T18*T19</f>
        <v>27.465350883217017</v>
      </c>
      <c r="U20" s="20">
        <f t="shared" ref="U20" si="40">U18*U19</f>
        <v>27.71165132252996</v>
      </c>
      <c r="V20" s="20">
        <f t="shared" ref="V20" si="41">V18*V19</f>
        <v>23.666620318150411</v>
      </c>
    </row>
    <row r="21" spans="1:22">
      <c r="A21">
        <v>2024</v>
      </c>
      <c r="B21" t="s">
        <v>217</v>
      </c>
      <c r="C21">
        <v>6487.9</v>
      </c>
      <c r="D21">
        <v>5297.4</v>
      </c>
      <c r="E21">
        <v>6034</v>
      </c>
      <c r="F21">
        <v>4460.7000000000007</v>
      </c>
      <c r="G21">
        <v>6510.0000000000009</v>
      </c>
      <c r="H21">
        <v>4290</v>
      </c>
      <c r="I21">
        <v>6220.2000000000007</v>
      </c>
      <c r="J21">
        <v>10110.9</v>
      </c>
      <c r="K21">
        <v>5757.4</v>
      </c>
      <c r="L21">
        <v>2891.7</v>
      </c>
      <c r="M21">
        <v>1942.5</v>
      </c>
      <c r="N21">
        <v>6867.5000000000009</v>
      </c>
      <c r="O21">
        <v>2142.5</v>
      </c>
      <c r="P21">
        <v>749.1</v>
      </c>
      <c r="Q21">
        <v>3494.9</v>
      </c>
      <c r="R21">
        <v>6069.5</v>
      </c>
      <c r="S21">
        <v>3765.3</v>
      </c>
      <c r="T21">
        <v>6629.2000000000007</v>
      </c>
      <c r="U21">
        <v>4799.8</v>
      </c>
      <c r="V21">
        <v>3866.5</v>
      </c>
    </row>
    <row r="22" spans="1:22">
      <c r="A22">
        <v>2024</v>
      </c>
      <c r="B22" t="s">
        <v>152</v>
      </c>
      <c r="C22" s="4">
        <f>'Crop Prices (2022-2024)'!$J$8</f>
        <v>1.4812308240546462E-3</v>
      </c>
      <c r="D22" s="4">
        <f>'Crop Prices (2022-2024)'!$J$8</f>
        <v>1.4812308240546462E-3</v>
      </c>
      <c r="E22" s="4">
        <f>'Crop Prices (2022-2024)'!$J$8</f>
        <v>1.4812308240546462E-3</v>
      </c>
      <c r="F22" s="4">
        <f>'Crop Prices (2022-2024)'!$J$8</f>
        <v>1.4812308240546462E-3</v>
      </c>
      <c r="G22" s="4">
        <f>'Crop Prices (2022-2024)'!$J$8</f>
        <v>1.4812308240546462E-3</v>
      </c>
      <c r="H22" s="4">
        <f>'Crop Prices (2022-2024)'!$J$8</f>
        <v>1.4812308240546462E-3</v>
      </c>
      <c r="I22" s="4">
        <f>'Crop Prices (2022-2024)'!$J$8</f>
        <v>1.4812308240546462E-3</v>
      </c>
      <c r="J22" s="4">
        <f>'Crop Prices (2022-2024)'!$J$8</f>
        <v>1.4812308240546462E-3</v>
      </c>
      <c r="K22" s="4">
        <f>'Crop Prices (2022-2024)'!$J$20</f>
        <v>5.123542973176555E-3</v>
      </c>
      <c r="L22" s="4">
        <f>'Crop Prices (2022-2024)'!$J$20</f>
        <v>5.123542973176555E-3</v>
      </c>
      <c r="M22" s="4">
        <f>'Crop Prices (2022-2024)'!$J$20</f>
        <v>5.123542973176555E-3</v>
      </c>
      <c r="N22" s="4">
        <f>'Crop Prices (2022-2024)'!$J$20</f>
        <v>5.123542973176555E-3</v>
      </c>
      <c r="O22" s="4">
        <f>'Crop Prices (2022-2024)'!$J$20</f>
        <v>5.123542973176555E-3</v>
      </c>
      <c r="P22" s="4">
        <f>'Crop Prices (2022-2024)'!$J$20</f>
        <v>5.123542973176555E-3</v>
      </c>
      <c r="Q22" s="4">
        <f>'Crop Prices (2022-2024)'!$J$20</f>
        <v>5.123542973176555E-3</v>
      </c>
      <c r="R22" s="4">
        <f>'Crop Prices (2022-2024)'!$J$20</f>
        <v>5.123542973176555E-3</v>
      </c>
      <c r="S22" s="4">
        <f>'Crop Prices (2022-2024)'!$J$20</f>
        <v>5.123542973176555E-3</v>
      </c>
      <c r="T22" s="4">
        <f>'Crop Prices (2022-2024)'!$J$20</f>
        <v>5.123542973176555E-3</v>
      </c>
      <c r="U22" s="4">
        <f>'Crop Prices (2022-2024)'!$J$20</f>
        <v>5.123542973176555E-3</v>
      </c>
      <c r="V22" s="4">
        <f>'Crop Prices (2022-2024)'!$J$20</f>
        <v>5.123542973176555E-3</v>
      </c>
    </row>
    <row r="23" spans="1:22">
      <c r="A23" s="2">
        <v>2024</v>
      </c>
      <c r="B23" s="2" t="s">
        <v>218</v>
      </c>
      <c r="C23" s="20">
        <f>C21*C22</f>
        <v>9.6100774633841386</v>
      </c>
      <c r="D23" s="20">
        <f t="shared" ref="D23" si="42">D21*D22</f>
        <v>7.8466721673470818</v>
      </c>
      <c r="E23" s="20">
        <f t="shared" ref="E23" si="43">E21*E22</f>
        <v>8.9377467923457345</v>
      </c>
      <c r="F23" s="20">
        <f t="shared" ref="F23" si="44">F21*F22</f>
        <v>6.6073263368605613</v>
      </c>
      <c r="G23" s="20">
        <f t="shared" ref="G23" si="45">G21*G22</f>
        <v>9.6428126645957484</v>
      </c>
      <c r="H23" s="20">
        <f t="shared" ref="H23" si="46">H21*H22</f>
        <v>6.3544802351944325</v>
      </c>
      <c r="I23" s="20">
        <f t="shared" ref="I23" si="47">I21*I22</f>
        <v>9.2135519717847121</v>
      </c>
      <c r="J23" s="20">
        <f t="shared" ref="J23" si="48">J21*J22</f>
        <v>14.976576738934121</v>
      </c>
      <c r="K23" s="20">
        <f t="shared" ref="K23" si="49">K21*K22</f>
        <v>29.498286313766695</v>
      </c>
      <c r="L23" s="20">
        <f t="shared" ref="L23" si="50">L21*L22</f>
        <v>14.815749215534643</v>
      </c>
      <c r="M23" s="20">
        <f t="shared" ref="M23" si="51">M21*M22</f>
        <v>9.9524822253954586</v>
      </c>
      <c r="N23" s="20">
        <f t="shared" ref="N23" si="52">N21*N22</f>
        <v>35.185931368289999</v>
      </c>
      <c r="O23" s="20">
        <f t="shared" ref="O23" si="53">O21*O22</f>
        <v>10.977190820030769</v>
      </c>
      <c r="P23" s="20">
        <f t="shared" ref="P23" si="54">P21*P22</f>
        <v>3.8380460412065576</v>
      </c>
      <c r="Q23" s="20">
        <f t="shared" ref="Q23" si="55">Q21*Q22</f>
        <v>17.906270336954744</v>
      </c>
      <c r="R23" s="20">
        <f t="shared" ref="R23" si="56">R21*R22</f>
        <v>31.097344075695101</v>
      </c>
      <c r="S23" s="20">
        <f t="shared" ref="S23" si="57">S21*S22</f>
        <v>19.291676356901682</v>
      </c>
      <c r="T23" s="20">
        <f t="shared" ref="T23" si="58">T21*T22</f>
        <v>33.964991077782024</v>
      </c>
      <c r="U23" s="20">
        <f t="shared" ref="U23" si="59">U21*U22</f>
        <v>24.59198156265283</v>
      </c>
      <c r="V23" s="20">
        <f t="shared" ref="V23" si="60">V21*V22</f>
        <v>19.810178905787151</v>
      </c>
    </row>
    <row r="24" spans="1:22">
      <c r="A24" s="5"/>
      <c r="B24" s="5" t="s">
        <v>151</v>
      </c>
      <c r="C24" s="7">
        <f>C17+C20+C23</f>
        <v>20.570588990507048</v>
      </c>
      <c r="D24" s="7">
        <f t="shared" ref="D24" si="61">D17+D20+D23</f>
        <v>29.995990177259813</v>
      </c>
      <c r="E24" s="7">
        <f t="shared" ref="E24" si="62">E17+E20+E23</f>
        <v>26.675374632073286</v>
      </c>
      <c r="F24" s="7">
        <f t="shared" ref="F24" si="63">F17+F20+F23</f>
        <v>25.896498132232693</v>
      </c>
      <c r="G24" s="7">
        <f t="shared" ref="G24" si="64">G17+G20+G23</f>
        <v>27.982876012663088</v>
      </c>
      <c r="H24" s="7">
        <f t="shared" ref="H24" si="65">H17+H20+H23</f>
        <v>21.132443321301899</v>
      </c>
      <c r="I24" s="7">
        <f t="shared" ref="I24" si="66">I17+I20+I23</f>
        <v>25.622690974718118</v>
      </c>
      <c r="J24" s="7">
        <f t="shared" ref="J24" si="67">J17+J20+J23</f>
        <v>31.937147526313105</v>
      </c>
      <c r="K24" s="7">
        <f t="shared" ref="K24" si="68">K17+K20+K23</f>
        <v>65.042372736560793</v>
      </c>
      <c r="L24" s="7">
        <f t="shared" ref="L24" si="69">L17+L20+L23</f>
        <v>45.07907661674291</v>
      </c>
      <c r="M24" s="7">
        <f t="shared" ref="M24" si="70">M17+M20+M23</f>
        <v>65.419712417120252</v>
      </c>
      <c r="N24" s="7">
        <f t="shared" ref="N24" si="71">N17+N20+N23</f>
        <v>78.385314991078886</v>
      </c>
      <c r="O24" s="7">
        <f t="shared" ref="O24" si="72">O17+O20+O23</f>
        <v>52.749690652865254</v>
      </c>
      <c r="P24" s="7">
        <f t="shared" ref="P24" si="73">P17+P20+P23</f>
        <v>36.95814371833459</v>
      </c>
      <c r="Q24" s="7">
        <f t="shared" ref="Q24" si="74">Q17+Q20+Q23</f>
        <v>68.624276903070481</v>
      </c>
      <c r="R24" s="7">
        <f t="shared" ref="R24" si="75">R17+R20+R23</f>
        <v>72.75219642693726</v>
      </c>
      <c r="S24" s="7">
        <f t="shared" ref="S24" si="76">S17+S20+S23</f>
        <v>54.324770939158427</v>
      </c>
      <c r="T24" s="7">
        <f t="shared" ref="T24" si="77">T17+T20+T23</f>
        <v>73.817853682150798</v>
      </c>
      <c r="U24" s="7">
        <f t="shared" ref="U24" si="78">U17+U20+U23</f>
        <v>61.470446692037612</v>
      </c>
      <c r="V24" s="7">
        <f t="shared" ref="V24" si="79">V17+V20+V23</f>
        <v>57.367150157309737</v>
      </c>
    </row>
    <row r="26" spans="1:22">
      <c r="A26" s="5" t="s">
        <v>1</v>
      </c>
      <c r="B26" s="5" t="s">
        <v>153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>
      <c r="A27">
        <v>2022</v>
      </c>
      <c r="B27" t="s">
        <v>219</v>
      </c>
      <c r="C27">
        <v>30.2</v>
      </c>
      <c r="D27">
        <v>49.8</v>
      </c>
      <c r="E27">
        <v>48.5</v>
      </c>
      <c r="F27">
        <v>56.7</v>
      </c>
      <c r="G27">
        <v>62.5</v>
      </c>
      <c r="H27">
        <v>25.5</v>
      </c>
      <c r="I27">
        <v>54.2</v>
      </c>
      <c r="J27">
        <v>30.4</v>
      </c>
      <c r="K27">
        <v>42.1</v>
      </c>
      <c r="L27">
        <v>38.200000000000003</v>
      </c>
      <c r="M27">
        <v>58.1</v>
      </c>
      <c r="N27">
        <v>58.2</v>
      </c>
      <c r="O27">
        <v>47.8</v>
      </c>
      <c r="P27">
        <v>36.4</v>
      </c>
      <c r="Q27">
        <v>58.9</v>
      </c>
      <c r="R27">
        <v>48.2</v>
      </c>
      <c r="S27">
        <v>79.8</v>
      </c>
      <c r="T27">
        <v>51.5</v>
      </c>
      <c r="U27">
        <v>58</v>
      </c>
      <c r="V27">
        <v>73.400000000000006</v>
      </c>
    </row>
    <row r="28" spans="1:22">
      <c r="A28">
        <v>2022</v>
      </c>
      <c r="B28" t="s">
        <v>155</v>
      </c>
      <c r="C28" s="4">
        <f>'Crop Prices (2022-2024)'!J9</f>
        <v>2.9597058698319816E-3</v>
      </c>
      <c r="D28" s="4">
        <f>'Crop Prices (2022-2024)'!J9</f>
        <v>2.9597058698319816E-3</v>
      </c>
      <c r="E28" s="4">
        <f>'Crop Prices (2022-2024)'!J9</f>
        <v>2.9597058698319816E-3</v>
      </c>
      <c r="F28" s="4">
        <f>'Crop Prices (2022-2024)'!J9</f>
        <v>2.9597058698319816E-3</v>
      </c>
      <c r="G28" s="4">
        <f>'Crop Prices (2022-2024)'!J9</f>
        <v>2.9597058698319816E-3</v>
      </c>
      <c r="H28" s="4">
        <f>'Crop Prices (2022-2024)'!J9</f>
        <v>2.9597058698319816E-3</v>
      </c>
      <c r="I28" s="4">
        <f>'Crop Prices (2022-2024)'!J9</f>
        <v>2.9597058698319816E-3</v>
      </c>
      <c r="J28" s="4">
        <f>'Crop Prices (2022-2024)'!J9</f>
        <v>2.9597058698319816E-3</v>
      </c>
      <c r="K28" s="4">
        <f>'Crop Prices (2022-2024)'!J21</f>
        <v>7.0768386161345698E-3</v>
      </c>
      <c r="L28" s="4">
        <f>'Crop Prices (2022-2024)'!J21</f>
        <v>7.0768386161345698E-3</v>
      </c>
      <c r="M28" s="4">
        <f>'Crop Prices (2022-2024)'!J21</f>
        <v>7.0768386161345698E-3</v>
      </c>
      <c r="N28" s="4">
        <f>'Crop Prices (2022-2024)'!J21</f>
        <v>7.0768386161345698E-3</v>
      </c>
      <c r="O28" s="4">
        <f>'Crop Prices (2022-2024)'!J21</f>
        <v>7.0768386161345698E-3</v>
      </c>
      <c r="P28" s="4">
        <f>'Crop Prices (2022-2024)'!J21</f>
        <v>7.0768386161345698E-3</v>
      </c>
      <c r="Q28" s="4">
        <f>'Crop Prices (2022-2024)'!J21</f>
        <v>7.0768386161345698E-3</v>
      </c>
      <c r="R28" s="4">
        <f>'Crop Prices (2022-2024)'!J21</f>
        <v>7.0768386161345698E-3</v>
      </c>
      <c r="S28" s="4">
        <f>'Crop Prices (2022-2024)'!J21</f>
        <v>7.0768386161345698E-3</v>
      </c>
      <c r="T28" s="4">
        <f>'Crop Prices (2022-2024)'!J21</f>
        <v>7.0768386161345698E-3</v>
      </c>
      <c r="U28" s="4">
        <f>'Crop Prices (2022-2024)'!J21</f>
        <v>7.0768386161345698E-3</v>
      </c>
      <c r="V28" s="4">
        <f>'Crop Prices (2022-2024)'!J21</f>
        <v>7.0768386161345698E-3</v>
      </c>
    </row>
    <row r="29" spans="1:22">
      <c r="A29" s="2">
        <v>2022</v>
      </c>
      <c r="B29" s="2" t="s">
        <v>220</v>
      </c>
      <c r="C29" s="20">
        <f>C27*C28</f>
        <v>8.9383117268925838E-2</v>
      </c>
      <c r="D29" s="20">
        <f t="shared" ref="D29" si="80">D27*D28</f>
        <v>0.14739335231763268</v>
      </c>
      <c r="E29" s="20">
        <f t="shared" ref="E29" si="81">E27*E28</f>
        <v>0.14354573468685111</v>
      </c>
      <c r="F29" s="20">
        <f t="shared" ref="F29" si="82">F27*F28</f>
        <v>0.16781532281947337</v>
      </c>
      <c r="G29" s="20">
        <f t="shared" ref="G29" si="83">G27*G28</f>
        <v>0.18498161686449885</v>
      </c>
      <c r="H29" s="20">
        <f t="shared" ref="H29" si="84">H27*H28</f>
        <v>7.5472499680715524E-2</v>
      </c>
      <c r="I29" s="20">
        <f t="shared" ref="I29" si="85">I27*I28</f>
        <v>0.1604160581448934</v>
      </c>
      <c r="J29" s="20">
        <f t="shared" ref="J29" si="86">J27*J28</f>
        <v>8.9975058442892233E-2</v>
      </c>
      <c r="K29" s="20">
        <f t="shared" ref="K29" si="87">K27*K28</f>
        <v>0.2979349057392654</v>
      </c>
      <c r="L29" s="20">
        <f t="shared" ref="L29" si="88">L27*L28</f>
        <v>0.27033523513634061</v>
      </c>
      <c r="M29" s="20">
        <f t="shared" ref="M29" si="89">M27*M28</f>
        <v>0.4111643235974185</v>
      </c>
      <c r="N29" s="20">
        <f t="shared" ref="N29" si="90">N27*N28</f>
        <v>0.41187200745903196</v>
      </c>
      <c r="O29" s="20">
        <f t="shared" ref="O29" si="91">O27*O28</f>
        <v>0.33827288585123244</v>
      </c>
      <c r="P29" s="20">
        <f t="shared" ref="P29" si="92">P27*P28</f>
        <v>0.25759692562729836</v>
      </c>
      <c r="Q29" s="20">
        <f t="shared" ref="Q29" si="93">Q27*Q28</f>
        <v>0.41682579449032614</v>
      </c>
      <c r="R29" s="20">
        <f t="shared" ref="R29" si="94">R27*R28</f>
        <v>0.34110362129768629</v>
      </c>
      <c r="S29" s="20">
        <f t="shared" ref="S29" si="95">S27*S28</f>
        <v>0.5647317215675387</v>
      </c>
      <c r="T29" s="20">
        <f t="shared" ref="T29" si="96">T27*T28</f>
        <v>0.36445718873093036</v>
      </c>
      <c r="U29" s="20">
        <f t="shared" ref="U29" si="97">U27*U28</f>
        <v>0.41045663973580504</v>
      </c>
      <c r="V29" s="20">
        <f t="shared" ref="V29" si="98">V27*V28</f>
        <v>0.51943995442427748</v>
      </c>
    </row>
    <row r="30" spans="1:22">
      <c r="A30">
        <v>2023</v>
      </c>
      <c r="B30" t="s">
        <v>219</v>
      </c>
      <c r="C30">
        <v>537.79999999999995</v>
      </c>
      <c r="D30">
        <v>1769.5</v>
      </c>
      <c r="E30">
        <v>856.19999999999993</v>
      </c>
      <c r="F30">
        <v>959.2</v>
      </c>
      <c r="G30">
        <v>1879.1</v>
      </c>
      <c r="H30">
        <v>751.2</v>
      </c>
      <c r="I30">
        <v>1908.1</v>
      </c>
      <c r="J30">
        <v>1503.1999999999998</v>
      </c>
      <c r="K30">
        <v>327.29999999999995</v>
      </c>
      <c r="L30">
        <v>1206.7</v>
      </c>
      <c r="M30">
        <v>1344.7</v>
      </c>
      <c r="N30">
        <v>191.2</v>
      </c>
      <c r="O30">
        <v>982</v>
      </c>
      <c r="P30">
        <v>1136.8999999999999</v>
      </c>
      <c r="Q30">
        <v>748.5</v>
      </c>
      <c r="R30">
        <v>1421.3999999999999</v>
      </c>
      <c r="S30">
        <v>128.5</v>
      </c>
      <c r="T30">
        <v>117.5</v>
      </c>
      <c r="U30">
        <v>935.8</v>
      </c>
      <c r="V30">
        <v>1006.9</v>
      </c>
    </row>
    <row r="31" spans="1:22">
      <c r="A31">
        <v>2023</v>
      </c>
      <c r="B31" t="s">
        <v>155</v>
      </c>
      <c r="C31" s="4">
        <f>'Crop Prices (2022-2024)'!J10</f>
        <v>3.3234686024370291E-3</v>
      </c>
      <c r="D31" s="4">
        <f>'Crop Prices (2022-2024)'!J10</f>
        <v>3.3234686024370291E-3</v>
      </c>
      <c r="E31" s="4">
        <f>'Crop Prices (2022-2024)'!J10</f>
        <v>3.3234686024370291E-3</v>
      </c>
      <c r="F31" s="4">
        <f>'Crop Prices (2022-2024)'!J10</f>
        <v>3.3234686024370291E-3</v>
      </c>
      <c r="G31" s="4">
        <f>'Crop Prices (2022-2024)'!J10</f>
        <v>3.3234686024370291E-3</v>
      </c>
      <c r="H31" s="4">
        <f>'Crop Prices (2022-2024)'!J10</f>
        <v>3.3234686024370291E-3</v>
      </c>
      <c r="I31" s="4">
        <f>'Crop Prices (2022-2024)'!J10</f>
        <v>3.3234686024370291E-3</v>
      </c>
      <c r="J31" s="4">
        <f>'Crop Prices (2022-2024)'!J10</f>
        <v>3.3234686024370291E-3</v>
      </c>
      <c r="K31" s="4">
        <f>'Crop Prices (2022-2024)'!J22</f>
        <v>7.5398093667228133E-3</v>
      </c>
      <c r="L31" s="4">
        <f>'Crop Prices (2022-2024)'!J22</f>
        <v>7.5398093667228133E-3</v>
      </c>
      <c r="M31" s="4">
        <f>'Crop Prices (2022-2024)'!J22</f>
        <v>7.5398093667228133E-3</v>
      </c>
      <c r="N31" s="4">
        <f>'Crop Prices (2022-2024)'!J22</f>
        <v>7.5398093667228133E-3</v>
      </c>
      <c r="O31" s="4">
        <f>'Crop Prices (2022-2024)'!J22</f>
        <v>7.5398093667228133E-3</v>
      </c>
      <c r="P31" s="4">
        <f>'Crop Prices (2022-2024)'!J22</f>
        <v>7.5398093667228133E-3</v>
      </c>
      <c r="Q31" s="4">
        <f>'Crop Prices (2022-2024)'!J22</f>
        <v>7.5398093667228133E-3</v>
      </c>
      <c r="R31" s="4">
        <f>'Crop Prices (2022-2024)'!J22</f>
        <v>7.5398093667228133E-3</v>
      </c>
      <c r="S31" s="4">
        <f>'Crop Prices (2022-2024)'!J22</f>
        <v>7.5398093667228133E-3</v>
      </c>
      <c r="T31" s="4">
        <f>'Crop Prices (2022-2024)'!J22</f>
        <v>7.5398093667228133E-3</v>
      </c>
      <c r="U31" s="4">
        <f>'Crop Prices (2022-2024)'!J22</f>
        <v>7.5398093667228133E-3</v>
      </c>
      <c r="V31" s="4">
        <f>'Crop Prices (2022-2024)'!J22</f>
        <v>7.5398093667228133E-3</v>
      </c>
    </row>
    <row r="32" spans="1:22">
      <c r="A32" s="2">
        <v>2023</v>
      </c>
      <c r="B32" s="2" t="s">
        <v>220</v>
      </c>
      <c r="C32" s="20">
        <f>C30*C31</f>
        <v>1.787361414390634</v>
      </c>
      <c r="D32" s="20">
        <f t="shared" ref="D32:V32" si="99">D30*D31</f>
        <v>5.8808776920123229</v>
      </c>
      <c r="E32" s="20">
        <f t="shared" si="99"/>
        <v>2.845553817406584</v>
      </c>
      <c r="F32" s="20">
        <f t="shared" si="99"/>
        <v>3.1878710834575985</v>
      </c>
      <c r="G32" s="20">
        <f t="shared" si="99"/>
        <v>6.2451298508394206</v>
      </c>
      <c r="H32" s="20">
        <f t="shared" si="99"/>
        <v>2.4965896141506962</v>
      </c>
      <c r="I32" s="20">
        <f t="shared" si="99"/>
        <v>6.3415104403100946</v>
      </c>
      <c r="J32" s="20">
        <f t="shared" si="99"/>
        <v>4.9958380031833416</v>
      </c>
      <c r="K32" s="20">
        <f t="shared" si="99"/>
        <v>2.4677796057283765</v>
      </c>
      <c r="L32" s="20">
        <f t="shared" si="99"/>
        <v>9.0982879628244184</v>
      </c>
      <c r="M32" s="20">
        <f t="shared" si="99"/>
        <v>10.138781655432167</v>
      </c>
      <c r="N32" s="20">
        <f t="shared" si="99"/>
        <v>1.4416115509174019</v>
      </c>
      <c r="O32" s="20">
        <f t="shared" si="99"/>
        <v>7.4040927981218028</v>
      </c>
      <c r="P32" s="20">
        <f t="shared" si="99"/>
        <v>8.5720092690271663</v>
      </c>
      <c r="Q32" s="20">
        <f t="shared" si="99"/>
        <v>5.6435473109920258</v>
      </c>
      <c r="R32" s="20">
        <f t="shared" si="99"/>
        <v>10.717085033859806</v>
      </c>
      <c r="S32" s="20">
        <f t="shared" si="99"/>
        <v>0.96886550362388146</v>
      </c>
      <c r="T32" s="20">
        <f t="shared" si="99"/>
        <v>0.88592760058993059</v>
      </c>
      <c r="U32" s="20">
        <f t="shared" si="99"/>
        <v>7.0557536053792083</v>
      </c>
      <c r="V32" s="20">
        <f t="shared" si="99"/>
        <v>7.5918340513532003</v>
      </c>
    </row>
    <row r="33" spans="1:22">
      <c r="A33">
        <v>2024</v>
      </c>
      <c r="B33" t="s">
        <v>219</v>
      </c>
      <c r="C33">
        <v>521.20000000000005</v>
      </c>
      <c r="D33">
        <v>994.10000000000014</v>
      </c>
      <c r="E33">
        <v>1966.6</v>
      </c>
      <c r="F33">
        <v>1432.6</v>
      </c>
      <c r="G33">
        <v>1006.7</v>
      </c>
      <c r="H33">
        <v>821.5</v>
      </c>
      <c r="I33">
        <v>1054.5</v>
      </c>
      <c r="J33">
        <v>1051.5999999999999</v>
      </c>
      <c r="K33">
        <v>728.30000000000007</v>
      </c>
      <c r="L33">
        <v>1496</v>
      </c>
      <c r="M33">
        <v>2180.2000000000003</v>
      </c>
      <c r="N33">
        <v>2762</v>
      </c>
      <c r="O33">
        <v>816.80000000000007</v>
      </c>
      <c r="P33">
        <v>902.8</v>
      </c>
      <c r="Q33">
        <v>1297.3</v>
      </c>
      <c r="R33">
        <v>683.80000000000007</v>
      </c>
      <c r="S33">
        <v>598.5</v>
      </c>
      <c r="T33">
        <v>646.49999999999989</v>
      </c>
      <c r="U33">
        <v>853.6</v>
      </c>
      <c r="V33">
        <v>603.1</v>
      </c>
    </row>
    <row r="34" spans="1:22">
      <c r="A34">
        <v>2024</v>
      </c>
      <c r="B34" t="s">
        <v>155</v>
      </c>
      <c r="C34" s="4">
        <f>'Crop Prices (2022-2024)'!J11</f>
        <v>3.1415872361345051E-3</v>
      </c>
      <c r="D34" s="4">
        <f>'Crop Prices (2022-2024)'!J11</f>
        <v>3.1415872361345051E-3</v>
      </c>
      <c r="E34" s="4">
        <f>'Crop Prices (2022-2024)'!J11</f>
        <v>3.1415872361345051E-3</v>
      </c>
      <c r="F34" s="4">
        <f>'Crop Prices (2022-2024)'!J11</f>
        <v>3.1415872361345051E-3</v>
      </c>
      <c r="G34" s="4">
        <f>'Crop Prices (2022-2024)'!J11</f>
        <v>3.1415872361345051E-3</v>
      </c>
      <c r="H34" s="4">
        <f>'Crop Prices (2022-2024)'!J11</f>
        <v>3.1415872361345051E-3</v>
      </c>
      <c r="I34" s="4">
        <f>'Crop Prices (2022-2024)'!J11</f>
        <v>3.1415872361345051E-3</v>
      </c>
      <c r="J34" s="4">
        <f>'Crop Prices (2022-2024)'!J11</f>
        <v>3.1415872361345051E-3</v>
      </c>
      <c r="K34" s="4">
        <f>'Crop Prices (2022-2024)'!J23</f>
        <v>6.305220698487499E-3</v>
      </c>
      <c r="L34" s="4">
        <f>'Crop Prices (2022-2024)'!J23</f>
        <v>6.305220698487499E-3</v>
      </c>
      <c r="M34" s="4">
        <f>'Crop Prices (2022-2024)'!J23</f>
        <v>6.305220698487499E-3</v>
      </c>
      <c r="N34" s="4">
        <f>'Crop Prices (2022-2024)'!J23</f>
        <v>6.305220698487499E-3</v>
      </c>
      <c r="O34" s="4">
        <f>'Crop Prices (2022-2024)'!J23</f>
        <v>6.305220698487499E-3</v>
      </c>
      <c r="P34" s="4">
        <f>'Crop Prices (2022-2024)'!J23</f>
        <v>6.305220698487499E-3</v>
      </c>
      <c r="Q34" s="4">
        <f>'Crop Prices (2022-2024)'!J23</f>
        <v>6.305220698487499E-3</v>
      </c>
      <c r="R34" s="4">
        <f>'Crop Prices (2022-2024)'!J23</f>
        <v>6.305220698487499E-3</v>
      </c>
      <c r="S34" s="4">
        <f>'Crop Prices (2022-2024)'!J23</f>
        <v>6.305220698487499E-3</v>
      </c>
      <c r="T34" s="4">
        <f>'Crop Prices (2022-2024)'!J23</f>
        <v>6.305220698487499E-3</v>
      </c>
      <c r="U34" s="4">
        <f>'Crop Prices (2022-2024)'!J23</f>
        <v>6.305220698487499E-3</v>
      </c>
      <c r="V34" s="4">
        <f>'Crop Prices (2022-2024)'!J23</f>
        <v>6.305220698487499E-3</v>
      </c>
    </row>
    <row r="35" spans="1:22">
      <c r="A35" s="2">
        <v>2024</v>
      </c>
      <c r="B35" s="2" t="s">
        <v>220</v>
      </c>
      <c r="C35" s="20">
        <f>C33*C34</f>
        <v>1.6373952674733041</v>
      </c>
      <c r="D35" s="20">
        <f t="shared" ref="D35:V35" si="100">D33*D34</f>
        <v>3.1230518714413118</v>
      </c>
      <c r="E35" s="20">
        <f t="shared" si="100"/>
        <v>6.1782454585821176</v>
      </c>
      <c r="F35" s="20">
        <f t="shared" si="100"/>
        <v>4.5006378744862916</v>
      </c>
      <c r="G35" s="20">
        <f t="shared" si="100"/>
        <v>3.1626358706166062</v>
      </c>
      <c r="H35" s="20">
        <f t="shared" si="100"/>
        <v>2.5808139144844962</v>
      </c>
      <c r="I35" s="20">
        <f t="shared" si="100"/>
        <v>3.3128037405038357</v>
      </c>
      <c r="J35" s="20">
        <f t="shared" si="100"/>
        <v>3.3036931375190455</v>
      </c>
      <c r="K35" s="20">
        <f t="shared" si="100"/>
        <v>4.5920922347084456</v>
      </c>
      <c r="L35" s="20">
        <f t="shared" si="100"/>
        <v>9.432610164937298</v>
      </c>
      <c r="M35" s="20">
        <f t="shared" si="100"/>
        <v>13.746642166842447</v>
      </c>
      <c r="N35" s="20">
        <f t="shared" si="100"/>
        <v>17.415019569222473</v>
      </c>
      <c r="O35" s="20">
        <f t="shared" si="100"/>
        <v>5.1501042665245897</v>
      </c>
      <c r="P35" s="20">
        <f t="shared" si="100"/>
        <v>5.6923532465945135</v>
      </c>
      <c r="Q35" s="20">
        <f t="shared" si="100"/>
        <v>8.1797628121478319</v>
      </c>
      <c r="R35" s="20">
        <f t="shared" si="100"/>
        <v>4.311509913625752</v>
      </c>
      <c r="S35" s="20">
        <f t="shared" si="100"/>
        <v>3.7736745880447682</v>
      </c>
      <c r="T35" s="20">
        <f t="shared" si="100"/>
        <v>4.0763251815721677</v>
      </c>
      <c r="U35" s="20">
        <f t="shared" si="100"/>
        <v>5.382136388228929</v>
      </c>
      <c r="V35" s="20">
        <f t="shared" si="100"/>
        <v>3.8026786032578106</v>
      </c>
    </row>
    <row r="36" spans="1:22">
      <c r="A36" s="5"/>
      <c r="B36" s="5" t="s">
        <v>154</v>
      </c>
      <c r="C36" s="7">
        <f>C29+C32+C35</f>
        <v>3.514139799132864</v>
      </c>
      <c r="D36" s="7">
        <f t="shared" ref="D36" si="101">D29+D32+D35</f>
        <v>9.1513229157712672</v>
      </c>
      <c r="E36" s="7">
        <f t="shared" ref="E36" si="102">E29+E32+E35</f>
        <v>9.1673450106755521</v>
      </c>
      <c r="F36" s="7">
        <f t="shared" ref="F36" si="103">F29+F32+F35</f>
        <v>7.8563242807633635</v>
      </c>
      <c r="G36" s="7">
        <f t="shared" ref="G36" si="104">G29+G32+G35</f>
        <v>9.5927473383205246</v>
      </c>
      <c r="H36" s="7">
        <f t="shared" ref="H36" si="105">H29+H32+H35</f>
        <v>5.1528760283159079</v>
      </c>
      <c r="I36" s="7">
        <f t="shared" ref="I36" si="106">I29+I32+I35</f>
        <v>9.8147302389588233</v>
      </c>
      <c r="J36" s="7">
        <f t="shared" ref="J36" si="107">J29+J32+J35</f>
        <v>8.3895061991452788</v>
      </c>
      <c r="K36" s="7">
        <f t="shared" ref="K36" si="108">K29+K32+K35</f>
        <v>7.3578067461760881</v>
      </c>
      <c r="L36" s="7">
        <f t="shared" ref="L36" si="109">L29+L32+L35</f>
        <v>18.801233362898056</v>
      </c>
      <c r="M36" s="7">
        <f t="shared" ref="M36" si="110">M29+M32+M35</f>
        <v>24.296588145872033</v>
      </c>
      <c r="N36" s="7">
        <f t="shared" ref="N36" si="111">N29+N32+N35</f>
        <v>19.268503127598905</v>
      </c>
      <c r="O36" s="7">
        <f t="shared" ref="O36" si="112">O29+O32+O35</f>
        <v>12.892469950497624</v>
      </c>
      <c r="P36" s="7">
        <f t="shared" ref="P36" si="113">P29+P32+P35</f>
        <v>14.521959441248978</v>
      </c>
      <c r="Q36" s="7">
        <f t="shared" ref="Q36" si="114">Q29+Q32+Q35</f>
        <v>14.240135917630184</v>
      </c>
      <c r="R36" s="7">
        <f t="shared" ref="R36" si="115">R29+R32+R35</f>
        <v>15.369698568783244</v>
      </c>
      <c r="S36" s="7">
        <f t="shared" ref="S36" si="116">S29+S32+S35</f>
        <v>5.3072718132361878</v>
      </c>
      <c r="T36" s="7">
        <f t="shared" ref="T36" si="117">T29+T32+T35</f>
        <v>5.3267099708930292</v>
      </c>
      <c r="U36" s="7">
        <f t="shared" ref="U36" si="118">U29+U32+U35</f>
        <v>12.848346633343942</v>
      </c>
      <c r="V36" s="7">
        <f t="shared" ref="V36" si="119">V29+V32+V35</f>
        <v>11.913952609035288</v>
      </c>
    </row>
    <row r="38" spans="1:22">
      <c r="A38" s="5" t="s">
        <v>1</v>
      </c>
      <c r="B38" s="5" t="s">
        <v>307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>
      <c r="A39">
        <v>2022</v>
      </c>
      <c r="B39" t="s">
        <v>215</v>
      </c>
      <c r="C39">
        <v>3247.3</v>
      </c>
      <c r="D39">
        <v>3715.0999999999995</v>
      </c>
      <c r="E39">
        <v>3278.9</v>
      </c>
      <c r="F39">
        <v>3817.4</v>
      </c>
      <c r="G39">
        <v>2610.8000000000002</v>
      </c>
      <c r="H39">
        <v>2854.6</v>
      </c>
      <c r="I39">
        <v>2594.8000000000002</v>
      </c>
      <c r="J39">
        <v>3891.4</v>
      </c>
      <c r="K39">
        <v>2536.1999999999998</v>
      </c>
      <c r="L39">
        <v>2176</v>
      </c>
      <c r="M39">
        <v>4021.8</v>
      </c>
      <c r="N39">
        <v>3052.1000000000004</v>
      </c>
      <c r="O39">
        <v>3237.7</v>
      </c>
      <c r="P39">
        <v>1689</v>
      </c>
      <c r="Q39">
        <v>2599.9</v>
      </c>
      <c r="R39">
        <v>1565</v>
      </c>
      <c r="S39">
        <v>1553.8</v>
      </c>
      <c r="T39">
        <v>3377.8</v>
      </c>
      <c r="U39">
        <v>1437.6</v>
      </c>
      <c r="V39">
        <v>3500.6</v>
      </c>
    </row>
    <row r="40" spans="1:22">
      <c r="A40">
        <v>2022</v>
      </c>
      <c r="B40" t="s">
        <v>149</v>
      </c>
      <c r="C40" s="4">
        <f>'Crop Prices (2022-2024)'!$J$27</f>
        <v>7.6550008987144123E-3</v>
      </c>
      <c r="D40" s="4">
        <f>'Crop Prices (2022-2024)'!$J$27</f>
        <v>7.6550008987144123E-3</v>
      </c>
      <c r="E40" s="4">
        <f>'Crop Prices (2022-2024)'!$J$27</f>
        <v>7.6550008987144123E-3</v>
      </c>
      <c r="F40" s="4">
        <f>'Crop Prices (2022-2024)'!$J$27</f>
        <v>7.6550008987144123E-3</v>
      </c>
      <c r="G40" s="4">
        <f>'Crop Prices (2022-2024)'!$J$27</f>
        <v>7.6550008987144123E-3</v>
      </c>
      <c r="H40" s="4">
        <f>'Crop Prices (2022-2024)'!$J$27</f>
        <v>7.6550008987144123E-3</v>
      </c>
      <c r="I40" s="4">
        <f>'Crop Prices (2022-2024)'!$J$27</f>
        <v>7.6550008987144123E-3</v>
      </c>
      <c r="J40" s="4">
        <f>'Crop Prices (2022-2024)'!$J$27</f>
        <v>7.6550008987144123E-3</v>
      </c>
      <c r="K40" s="4">
        <f>'Crop Prices (2022-2024)'!$J$39</f>
        <v>1.2976408752201896E-2</v>
      </c>
      <c r="L40" s="4">
        <f>'Crop Prices (2022-2024)'!$J$39</f>
        <v>1.2976408752201896E-2</v>
      </c>
      <c r="M40" s="4">
        <f>'Crop Prices (2022-2024)'!$J$39</f>
        <v>1.2976408752201896E-2</v>
      </c>
      <c r="N40" s="4">
        <f>'Crop Prices (2022-2024)'!$J$39</f>
        <v>1.2976408752201896E-2</v>
      </c>
      <c r="O40" s="4">
        <f>'Crop Prices (2022-2024)'!$J$39</f>
        <v>1.2976408752201896E-2</v>
      </c>
      <c r="P40" s="4">
        <f>'Crop Prices (2022-2024)'!$J$39</f>
        <v>1.2976408752201896E-2</v>
      </c>
      <c r="Q40" s="4">
        <f>'Crop Prices (2022-2024)'!$J$39</f>
        <v>1.2976408752201896E-2</v>
      </c>
      <c r="R40" s="4">
        <f>'Crop Prices (2022-2024)'!$J$39</f>
        <v>1.2976408752201896E-2</v>
      </c>
      <c r="S40" s="4">
        <f>'Crop Prices (2022-2024)'!$J$39</f>
        <v>1.2976408752201896E-2</v>
      </c>
      <c r="T40" s="4">
        <f>'Crop Prices (2022-2024)'!$J$39</f>
        <v>1.2976408752201896E-2</v>
      </c>
      <c r="U40" s="4">
        <f>'Crop Prices (2022-2024)'!$J$39</f>
        <v>1.2976408752201896E-2</v>
      </c>
      <c r="V40" s="4">
        <f>'Crop Prices (2022-2024)'!$J$39</f>
        <v>1.2976408752201896E-2</v>
      </c>
    </row>
    <row r="41" spans="1:22">
      <c r="A41" s="2">
        <v>2022</v>
      </c>
      <c r="B41" s="2" t="s">
        <v>216</v>
      </c>
      <c r="C41" s="20">
        <f>C39*C40</f>
        <v>24.858084418395311</v>
      </c>
      <c r="D41" s="20">
        <f t="shared" ref="D41:V41" si="120">D39*D40</f>
        <v>28.439093838813911</v>
      </c>
      <c r="E41" s="20">
        <f t="shared" si="120"/>
        <v>25.099982446794687</v>
      </c>
      <c r="F41" s="20">
        <f t="shared" si="120"/>
        <v>29.222200430752398</v>
      </c>
      <c r="G41" s="20">
        <f t="shared" si="120"/>
        <v>19.98567634636359</v>
      </c>
      <c r="H41" s="20">
        <f t="shared" si="120"/>
        <v>21.851965565470159</v>
      </c>
      <c r="I41" s="20">
        <f t="shared" si="120"/>
        <v>19.86319633198416</v>
      </c>
      <c r="J41" s="20">
        <f t="shared" si="120"/>
        <v>29.788670497257264</v>
      </c>
      <c r="K41" s="20">
        <f t="shared" si="120"/>
        <v>32.91076787733445</v>
      </c>
      <c r="L41" s="20">
        <f t="shared" si="120"/>
        <v>28.236665444791328</v>
      </c>
      <c r="M41" s="20">
        <f t="shared" si="120"/>
        <v>52.188520719605592</v>
      </c>
      <c r="N41" s="20">
        <f t="shared" si="120"/>
        <v>39.605297152595412</v>
      </c>
      <c r="O41" s="20">
        <f t="shared" si="120"/>
        <v>42.013718617004081</v>
      </c>
      <c r="P41" s="20">
        <f t="shared" si="120"/>
        <v>21.917154382469004</v>
      </c>
      <c r="Q41" s="20">
        <f t="shared" si="120"/>
        <v>33.737365114849709</v>
      </c>
      <c r="R41" s="20">
        <f t="shared" si="120"/>
        <v>20.308079697195968</v>
      </c>
      <c r="S41" s="20">
        <f t="shared" si="120"/>
        <v>20.162743919171305</v>
      </c>
      <c r="T41" s="20">
        <f t="shared" si="120"/>
        <v>43.831713483187571</v>
      </c>
      <c r="U41" s="20">
        <f t="shared" si="120"/>
        <v>18.654885222165444</v>
      </c>
      <c r="V41" s="20">
        <f t="shared" si="120"/>
        <v>45.42521647795796</v>
      </c>
    </row>
    <row r="42" spans="1:22">
      <c r="A42">
        <v>2023</v>
      </c>
      <c r="B42" t="s">
        <v>215</v>
      </c>
      <c r="C42">
        <v>4597.3</v>
      </c>
      <c r="D42">
        <v>5548.2000000000007</v>
      </c>
      <c r="E42">
        <v>7776.3</v>
      </c>
      <c r="F42">
        <v>4944.3999999999996</v>
      </c>
      <c r="G42">
        <v>4342.5</v>
      </c>
      <c r="H42">
        <v>7257.2999999999993</v>
      </c>
      <c r="I42">
        <v>6263.2</v>
      </c>
      <c r="J42">
        <v>6946.6</v>
      </c>
      <c r="K42">
        <v>4710.8999999999996</v>
      </c>
      <c r="L42">
        <v>4455.5</v>
      </c>
      <c r="M42">
        <v>6886.8</v>
      </c>
      <c r="N42">
        <v>5338.5</v>
      </c>
      <c r="O42">
        <v>7562.4999999999991</v>
      </c>
      <c r="P42">
        <v>5322.5999999999995</v>
      </c>
      <c r="Q42">
        <v>6259</v>
      </c>
      <c r="R42">
        <v>5300.6</v>
      </c>
      <c r="S42">
        <v>5099.8</v>
      </c>
      <c r="T42">
        <v>5608.4000000000015</v>
      </c>
      <c r="U42">
        <v>6142.9000000000005</v>
      </c>
      <c r="V42">
        <v>7099.4999999999991</v>
      </c>
    </row>
    <row r="43" spans="1:22">
      <c r="A43">
        <v>2023</v>
      </c>
      <c r="B43" t="s">
        <v>149</v>
      </c>
      <c r="C43" s="4">
        <f>'Crop Prices (2022-2024)'!$J$28</f>
        <v>8.1047439135715615E-3</v>
      </c>
      <c r="D43" s="4">
        <f>'Crop Prices (2022-2024)'!$J$28</f>
        <v>8.1047439135715615E-3</v>
      </c>
      <c r="E43" s="4">
        <f>'Crop Prices (2022-2024)'!$J$28</f>
        <v>8.1047439135715615E-3</v>
      </c>
      <c r="F43" s="4">
        <f>'Crop Prices (2022-2024)'!$J$28</f>
        <v>8.1047439135715615E-3</v>
      </c>
      <c r="G43" s="4">
        <f>'Crop Prices (2022-2024)'!$J$28</f>
        <v>8.1047439135715615E-3</v>
      </c>
      <c r="H43" s="4">
        <f>'Crop Prices (2022-2024)'!$J$28</f>
        <v>8.1047439135715615E-3</v>
      </c>
      <c r="I43" s="4">
        <f>'Crop Prices (2022-2024)'!$J$28</f>
        <v>8.1047439135715615E-3</v>
      </c>
      <c r="J43" s="4">
        <f>'Crop Prices (2022-2024)'!$J$28</f>
        <v>8.1047439135715615E-3</v>
      </c>
      <c r="K43" s="4">
        <f>'Crop Prices (2022-2024)'!$J$40</f>
        <v>1.4186746571596872E-2</v>
      </c>
      <c r="L43" s="4">
        <f>'Crop Prices (2022-2024)'!$J$40</f>
        <v>1.4186746571596872E-2</v>
      </c>
      <c r="M43" s="4">
        <f>'Crop Prices (2022-2024)'!$J$40</f>
        <v>1.4186746571596872E-2</v>
      </c>
      <c r="N43" s="4">
        <f>'Crop Prices (2022-2024)'!$J$40</f>
        <v>1.4186746571596872E-2</v>
      </c>
      <c r="O43" s="4">
        <f>'Crop Prices (2022-2024)'!$J$40</f>
        <v>1.4186746571596872E-2</v>
      </c>
      <c r="P43" s="4">
        <f>'Crop Prices (2022-2024)'!$J$40</f>
        <v>1.4186746571596872E-2</v>
      </c>
      <c r="Q43" s="4">
        <f>'Crop Prices (2022-2024)'!$J$40</f>
        <v>1.4186746571596872E-2</v>
      </c>
      <c r="R43" s="4">
        <f>'Crop Prices (2022-2024)'!$J$40</f>
        <v>1.4186746571596872E-2</v>
      </c>
      <c r="S43" s="4">
        <f>'Crop Prices (2022-2024)'!$J$40</f>
        <v>1.4186746571596872E-2</v>
      </c>
      <c r="T43" s="4">
        <f>'Crop Prices (2022-2024)'!$J$40</f>
        <v>1.4186746571596872E-2</v>
      </c>
      <c r="U43" s="4">
        <f>'Crop Prices (2022-2024)'!$J$40</f>
        <v>1.4186746571596872E-2</v>
      </c>
      <c r="V43" s="4">
        <f>'Crop Prices (2022-2024)'!$J$40</f>
        <v>1.4186746571596872E-2</v>
      </c>
    </row>
    <row r="44" spans="1:22">
      <c r="A44" s="2">
        <v>2023</v>
      </c>
      <c r="B44" s="2" t="s">
        <v>216</v>
      </c>
      <c r="C44" s="20">
        <f>C42*C43</f>
        <v>37.259939193862543</v>
      </c>
      <c r="D44" s="20">
        <f t="shared" ref="D44:J44" si="121">D42*D43</f>
        <v>44.966740181277743</v>
      </c>
      <c r="E44" s="20">
        <f t="shared" si="121"/>
        <v>63.024920095106538</v>
      </c>
      <c r="F44" s="20">
        <f t="shared" si="121"/>
        <v>40.073095806263225</v>
      </c>
      <c r="G44" s="20">
        <f t="shared" si="121"/>
        <v>35.194850444684505</v>
      </c>
      <c r="H44" s="20">
        <f t="shared" si="121"/>
        <v>58.818558003962885</v>
      </c>
      <c r="I44" s="20">
        <f t="shared" si="121"/>
        <v>50.761632079481402</v>
      </c>
      <c r="J44" s="20">
        <f t="shared" si="121"/>
        <v>56.30041407001621</v>
      </c>
      <c r="K44" s="20">
        <f>K42*K43</f>
        <v>66.832344424135698</v>
      </c>
      <c r="L44" s="20">
        <f t="shared" ref="L44:V44" si="122">L42*L43</f>
        <v>63.209049349749861</v>
      </c>
      <c r="M44" s="20">
        <f t="shared" si="122"/>
        <v>97.701286289273341</v>
      </c>
      <c r="N44" s="20">
        <f t="shared" si="122"/>
        <v>75.735946572469899</v>
      </c>
      <c r="O44" s="20">
        <f t="shared" si="122"/>
        <v>107.28727094770133</v>
      </c>
      <c r="P44" s="20">
        <f t="shared" si="122"/>
        <v>75.510377301981507</v>
      </c>
      <c r="Q44" s="20">
        <f t="shared" si="122"/>
        <v>88.794846791624821</v>
      </c>
      <c r="R44" s="20">
        <f t="shared" si="122"/>
        <v>75.198268877406392</v>
      </c>
      <c r="S44" s="20">
        <f t="shared" si="122"/>
        <v>72.349570165829732</v>
      </c>
      <c r="T44" s="20">
        <f t="shared" si="122"/>
        <v>79.564949472143923</v>
      </c>
      <c r="U44" s="20">
        <f t="shared" si="122"/>
        <v>87.147765514662439</v>
      </c>
      <c r="V44" s="20">
        <f t="shared" si="122"/>
        <v>100.71880728505198</v>
      </c>
    </row>
    <row r="45" spans="1:22">
      <c r="A45">
        <v>2024</v>
      </c>
      <c r="B45" t="s">
        <v>215</v>
      </c>
      <c r="C45">
        <v>912</v>
      </c>
      <c r="D45">
        <v>2653.8</v>
      </c>
      <c r="E45">
        <v>5381.0999999999995</v>
      </c>
      <c r="F45">
        <v>4159.8999999999996</v>
      </c>
      <c r="G45">
        <v>3708</v>
      </c>
      <c r="H45">
        <v>3844.7</v>
      </c>
      <c r="I45">
        <v>3178.7000000000003</v>
      </c>
      <c r="J45">
        <v>6492.1</v>
      </c>
      <c r="K45">
        <v>1802.8</v>
      </c>
      <c r="L45">
        <v>2525</v>
      </c>
      <c r="M45">
        <v>5394.5</v>
      </c>
      <c r="N45">
        <v>5439.1</v>
      </c>
      <c r="O45">
        <v>5200.8</v>
      </c>
      <c r="P45">
        <v>3831.4</v>
      </c>
      <c r="Q45">
        <v>5913.1</v>
      </c>
      <c r="R45">
        <v>6022.8</v>
      </c>
      <c r="S45">
        <v>3564.5</v>
      </c>
      <c r="T45">
        <v>5283.4</v>
      </c>
      <c r="U45">
        <v>4165.6000000000004</v>
      </c>
      <c r="V45">
        <v>5637.7</v>
      </c>
    </row>
    <row r="46" spans="1:22">
      <c r="A46">
        <v>2024</v>
      </c>
      <c r="B46" t="s">
        <v>149</v>
      </c>
      <c r="C46" s="4">
        <f>'Crop Prices (2022-2024)'!$J$29</f>
        <v>8.3389850671429944E-3</v>
      </c>
      <c r="D46" s="4">
        <f>'Crop Prices (2022-2024)'!$J$29</f>
        <v>8.3389850671429944E-3</v>
      </c>
      <c r="E46" s="4">
        <f>'Crop Prices (2022-2024)'!$J$29</f>
        <v>8.3389850671429944E-3</v>
      </c>
      <c r="F46" s="4">
        <f>'Crop Prices (2022-2024)'!$J$29</f>
        <v>8.3389850671429944E-3</v>
      </c>
      <c r="G46" s="4">
        <f>'Crop Prices (2022-2024)'!$J$29</f>
        <v>8.3389850671429944E-3</v>
      </c>
      <c r="H46" s="4">
        <f>'Crop Prices (2022-2024)'!$J$29</f>
        <v>8.3389850671429944E-3</v>
      </c>
      <c r="I46" s="4">
        <f>'Crop Prices (2022-2024)'!$J$29</f>
        <v>8.3389850671429944E-3</v>
      </c>
      <c r="J46" s="4">
        <f>'Crop Prices (2022-2024)'!$J$29</f>
        <v>8.3389850671429944E-3</v>
      </c>
      <c r="K46" s="4">
        <f>'Crop Prices (2022-2024)'!$J$41</f>
        <v>1.186527895079011E-2</v>
      </c>
      <c r="L46" s="4">
        <f>'Crop Prices (2022-2024)'!$J$41</f>
        <v>1.186527895079011E-2</v>
      </c>
      <c r="M46" s="4">
        <f>'Crop Prices (2022-2024)'!$J$41</f>
        <v>1.186527895079011E-2</v>
      </c>
      <c r="N46" s="4">
        <f>'Crop Prices (2022-2024)'!$J$41</f>
        <v>1.186527895079011E-2</v>
      </c>
      <c r="O46" s="4">
        <f>'Crop Prices (2022-2024)'!$J$41</f>
        <v>1.186527895079011E-2</v>
      </c>
      <c r="P46" s="4">
        <f>'Crop Prices (2022-2024)'!$J$41</f>
        <v>1.186527895079011E-2</v>
      </c>
      <c r="Q46" s="4">
        <f>'Crop Prices (2022-2024)'!$J$41</f>
        <v>1.186527895079011E-2</v>
      </c>
      <c r="R46" s="4">
        <f>'Crop Prices (2022-2024)'!$J$41</f>
        <v>1.186527895079011E-2</v>
      </c>
      <c r="S46" s="4">
        <f>'Crop Prices (2022-2024)'!$J$41</f>
        <v>1.186527895079011E-2</v>
      </c>
      <c r="T46" s="4">
        <f>'Crop Prices (2022-2024)'!$J$41</f>
        <v>1.186527895079011E-2</v>
      </c>
      <c r="U46" s="4">
        <f>'Crop Prices (2022-2024)'!$J$41</f>
        <v>1.186527895079011E-2</v>
      </c>
      <c r="V46" s="4">
        <f>'Crop Prices (2022-2024)'!$J$41</f>
        <v>1.186527895079011E-2</v>
      </c>
    </row>
    <row r="47" spans="1:22">
      <c r="A47" s="2">
        <v>2024</v>
      </c>
      <c r="B47" s="2" t="s">
        <v>216</v>
      </c>
      <c r="C47" s="20">
        <f>C45*C46</f>
        <v>7.6051543812344109</v>
      </c>
      <c r="D47" s="20">
        <f t="shared" ref="D47:V47" si="123">D45*D46</f>
        <v>22.129998571184082</v>
      </c>
      <c r="E47" s="20">
        <f t="shared" si="123"/>
        <v>44.872912544803164</v>
      </c>
      <c r="F47" s="20">
        <f t="shared" si="123"/>
        <v>34.68934398080814</v>
      </c>
      <c r="G47" s="20">
        <f t="shared" si="123"/>
        <v>30.920956628966223</v>
      </c>
      <c r="H47" s="20">
        <f t="shared" si="123"/>
        <v>32.060895887644669</v>
      </c>
      <c r="I47" s="20">
        <f t="shared" si="123"/>
        <v>26.507131832927438</v>
      </c>
      <c r="J47" s="20">
        <f t="shared" si="123"/>
        <v>54.137524954399041</v>
      </c>
      <c r="K47" s="20">
        <f t="shared" si="123"/>
        <v>21.39072489248441</v>
      </c>
      <c r="L47" s="20">
        <f t="shared" si="123"/>
        <v>29.959829350745029</v>
      </c>
      <c r="M47" s="20">
        <f t="shared" si="123"/>
        <v>64.00724730003725</v>
      </c>
      <c r="N47" s="20">
        <f t="shared" si="123"/>
        <v>64.536438741242492</v>
      </c>
      <c r="O47" s="20">
        <f t="shared" si="123"/>
        <v>61.708942767269207</v>
      </c>
      <c r="P47" s="20">
        <f t="shared" si="123"/>
        <v>45.460629772057224</v>
      </c>
      <c r="Q47" s="20">
        <f t="shared" si="123"/>
        <v>70.160580963916999</v>
      </c>
      <c r="R47" s="20">
        <f t="shared" si="123"/>
        <v>71.462202064818669</v>
      </c>
      <c r="S47" s="20">
        <f t="shared" si="123"/>
        <v>42.293786820091348</v>
      </c>
      <c r="T47" s="20">
        <f t="shared" si="123"/>
        <v>62.689014808604462</v>
      </c>
      <c r="U47" s="20">
        <f t="shared" si="123"/>
        <v>49.426005997411288</v>
      </c>
      <c r="V47" s="20">
        <f t="shared" si="123"/>
        <v>66.892883140869401</v>
      </c>
    </row>
    <row r="48" spans="1:22">
      <c r="A48" s="5"/>
      <c r="B48" s="5" t="s">
        <v>150</v>
      </c>
      <c r="C48" s="7">
        <f>C41+C44+C47</f>
        <v>69.723177993492271</v>
      </c>
      <c r="D48" s="7">
        <f t="shared" ref="D48:V48" si="124">D41+D44+D47</f>
        <v>95.535832591275721</v>
      </c>
      <c r="E48" s="7">
        <f t="shared" si="124"/>
        <v>132.99781508670438</v>
      </c>
      <c r="F48" s="7">
        <f t="shared" si="124"/>
        <v>103.98464021782377</v>
      </c>
      <c r="G48" s="7">
        <f t="shared" si="124"/>
        <v>86.101483420014318</v>
      </c>
      <c r="H48" s="7">
        <f t="shared" si="124"/>
        <v>112.73141945707772</v>
      </c>
      <c r="I48" s="7">
        <f t="shared" si="124"/>
        <v>97.131960244392999</v>
      </c>
      <c r="J48" s="7">
        <f t="shared" si="124"/>
        <v>140.22660952167251</v>
      </c>
      <c r="K48" s="7">
        <f t="shared" si="124"/>
        <v>121.13383719395456</v>
      </c>
      <c r="L48" s="7">
        <f t="shared" si="124"/>
        <v>121.40554414528621</v>
      </c>
      <c r="M48" s="7">
        <f t="shared" si="124"/>
        <v>213.89705430891618</v>
      </c>
      <c r="N48" s="7">
        <f t="shared" si="124"/>
        <v>179.87768246630782</v>
      </c>
      <c r="O48" s="7">
        <f t="shared" si="124"/>
        <v>211.00993233197462</v>
      </c>
      <c r="P48" s="7">
        <f t="shared" si="124"/>
        <v>142.88816145650773</v>
      </c>
      <c r="Q48" s="7">
        <f t="shared" si="124"/>
        <v>192.69279287039154</v>
      </c>
      <c r="R48" s="7">
        <f t="shared" si="124"/>
        <v>166.96855063942104</v>
      </c>
      <c r="S48" s="7">
        <f t="shared" si="124"/>
        <v>134.80610090509239</v>
      </c>
      <c r="T48" s="7">
        <f t="shared" si="124"/>
        <v>186.08567776393596</v>
      </c>
      <c r="U48" s="7">
        <f t="shared" si="124"/>
        <v>155.22865673423917</v>
      </c>
      <c r="V48" s="7">
        <f t="shared" si="124"/>
        <v>213.03690690387936</v>
      </c>
    </row>
    <row r="50" spans="1:22">
      <c r="A50" s="5" t="s">
        <v>1</v>
      </c>
      <c r="B50" s="5" t="s">
        <v>308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>
      <c r="A51">
        <v>2022</v>
      </c>
      <c r="B51" t="s">
        <v>217</v>
      </c>
      <c r="C51">
        <v>1689.2</v>
      </c>
      <c r="D51">
        <v>4814.5</v>
      </c>
      <c r="E51">
        <v>1862.1</v>
      </c>
      <c r="F51">
        <v>4125.3</v>
      </c>
      <c r="G51">
        <v>3185.6</v>
      </c>
      <c r="H51">
        <v>2558.4999999999995</v>
      </c>
      <c r="I51">
        <v>4424.3</v>
      </c>
      <c r="J51">
        <v>2473.9</v>
      </c>
      <c r="K51">
        <v>1919.1999999999998</v>
      </c>
      <c r="L51">
        <v>2085.1999999999998</v>
      </c>
      <c r="M51">
        <v>3142.1000000000004</v>
      </c>
      <c r="N51">
        <v>1884.5</v>
      </c>
      <c r="O51">
        <v>2724.2</v>
      </c>
      <c r="P51">
        <v>2435.8999999999996</v>
      </c>
      <c r="Q51">
        <v>2611.1999999999998</v>
      </c>
      <c r="R51">
        <v>1262</v>
      </c>
      <c r="S51">
        <v>1445.6999999999998</v>
      </c>
      <c r="T51">
        <v>2696.2</v>
      </c>
      <c r="U51">
        <v>1995.1999999999998</v>
      </c>
      <c r="V51">
        <v>3023.2999999999997</v>
      </c>
    </row>
    <row r="52" spans="1:22">
      <c r="A52">
        <v>2022</v>
      </c>
      <c r="B52" t="s">
        <v>152</v>
      </c>
      <c r="C52" s="4">
        <f>'Crop Prices (2022-2024)'!$J$30</f>
        <v>3.026395704142907E-3</v>
      </c>
      <c r="D52" s="4">
        <f>'Crop Prices (2022-2024)'!$J$30</f>
        <v>3.026395704142907E-3</v>
      </c>
      <c r="E52" s="4">
        <f>'Crop Prices (2022-2024)'!$J$30</f>
        <v>3.026395704142907E-3</v>
      </c>
      <c r="F52" s="4">
        <f>'Crop Prices (2022-2024)'!$J$30</f>
        <v>3.026395704142907E-3</v>
      </c>
      <c r="G52" s="4">
        <f>'Crop Prices (2022-2024)'!$J$30</f>
        <v>3.026395704142907E-3</v>
      </c>
      <c r="H52" s="4">
        <f>'Crop Prices (2022-2024)'!$J$30</f>
        <v>3.026395704142907E-3</v>
      </c>
      <c r="I52" s="4">
        <f>'Crop Prices (2022-2024)'!$J$30</f>
        <v>3.026395704142907E-3</v>
      </c>
      <c r="J52" s="4">
        <f>'Crop Prices (2022-2024)'!$J$30</f>
        <v>3.026395704142907E-3</v>
      </c>
      <c r="K52" s="4">
        <f>'Crop Prices (2022-2024)'!$J$42</f>
        <v>8.2699803790791272E-3</v>
      </c>
      <c r="L52" s="4">
        <f>'Crop Prices (2022-2024)'!$J$42</f>
        <v>8.2699803790791272E-3</v>
      </c>
      <c r="M52" s="4">
        <f>'Crop Prices (2022-2024)'!$J$42</f>
        <v>8.2699803790791272E-3</v>
      </c>
      <c r="N52" s="4">
        <f>'Crop Prices (2022-2024)'!$J$42</f>
        <v>8.2699803790791272E-3</v>
      </c>
      <c r="O52" s="4">
        <f>'Crop Prices (2022-2024)'!$J$42</f>
        <v>8.2699803790791272E-3</v>
      </c>
      <c r="P52" s="4">
        <f>'Crop Prices (2022-2024)'!$J$42</f>
        <v>8.2699803790791272E-3</v>
      </c>
      <c r="Q52" s="4">
        <f>'Crop Prices (2022-2024)'!$J$42</f>
        <v>8.2699803790791272E-3</v>
      </c>
      <c r="R52" s="4">
        <f>'Crop Prices (2022-2024)'!$J$42</f>
        <v>8.2699803790791272E-3</v>
      </c>
      <c r="S52" s="4">
        <f>'Crop Prices (2022-2024)'!$J$42</f>
        <v>8.2699803790791272E-3</v>
      </c>
      <c r="T52" s="4">
        <f>'Crop Prices (2022-2024)'!$J$42</f>
        <v>8.2699803790791272E-3</v>
      </c>
      <c r="U52" s="4">
        <f>'Crop Prices (2022-2024)'!$J$42</f>
        <v>8.2699803790791272E-3</v>
      </c>
      <c r="V52" s="4">
        <f>'Crop Prices (2022-2024)'!$J$42</f>
        <v>8.2699803790791272E-3</v>
      </c>
    </row>
    <row r="53" spans="1:22">
      <c r="A53" s="2">
        <v>2022</v>
      </c>
      <c r="B53" s="2" t="s">
        <v>218</v>
      </c>
      <c r="C53" s="20">
        <f>C51*C52</f>
        <v>5.1121876234381984</v>
      </c>
      <c r="D53" s="20">
        <f t="shared" ref="D53:V53" si="125">D51*D52</f>
        <v>14.570582117596025</v>
      </c>
      <c r="E53" s="20">
        <f t="shared" si="125"/>
        <v>5.6354514406845073</v>
      </c>
      <c r="F53" s="20">
        <f t="shared" si="125"/>
        <v>12.484790198300734</v>
      </c>
      <c r="G53" s="20">
        <f t="shared" si="125"/>
        <v>9.640886155117645</v>
      </c>
      <c r="H53" s="20">
        <f t="shared" si="125"/>
        <v>7.7430334090496267</v>
      </c>
      <c r="I53" s="20">
        <f t="shared" si="125"/>
        <v>13.389682513839464</v>
      </c>
      <c r="J53" s="20">
        <f t="shared" si="125"/>
        <v>7.4870003324791377</v>
      </c>
      <c r="K53" s="20">
        <f t="shared" si="125"/>
        <v>15.87174634352866</v>
      </c>
      <c r="L53" s="20">
        <f t="shared" si="125"/>
        <v>17.244563086455795</v>
      </c>
      <c r="M53" s="20">
        <f t="shared" si="125"/>
        <v>25.985105349104529</v>
      </c>
      <c r="N53" s="20">
        <f t="shared" si="125"/>
        <v>15.584778024374614</v>
      </c>
      <c r="O53" s="20">
        <f t="shared" si="125"/>
        <v>22.529080548687357</v>
      </c>
      <c r="P53" s="20">
        <f t="shared" si="125"/>
        <v>20.144845205398841</v>
      </c>
      <c r="Q53" s="20">
        <f t="shared" si="125"/>
        <v>21.594572765851414</v>
      </c>
      <c r="R53" s="20">
        <f t="shared" si="125"/>
        <v>10.436715238397859</v>
      </c>
      <c r="S53" s="20">
        <f t="shared" si="125"/>
        <v>11.955910634034693</v>
      </c>
      <c r="T53" s="20">
        <f t="shared" si="125"/>
        <v>22.29752109807314</v>
      </c>
      <c r="U53" s="20">
        <f t="shared" si="125"/>
        <v>16.500264852338674</v>
      </c>
      <c r="V53" s="20">
        <f t="shared" si="125"/>
        <v>25.002631680069921</v>
      </c>
    </row>
    <row r="54" spans="1:22">
      <c r="A54">
        <v>2023</v>
      </c>
      <c r="B54" t="s">
        <v>217</v>
      </c>
      <c r="C54">
        <v>3881.2</v>
      </c>
      <c r="D54">
        <v>6626.1999999999989</v>
      </c>
      <c r="E54">
        <v>7038.2000000000007</v>
      </c>
      <c r="F54">
        <v>5829.2</v>
      </c>
      <c r="G54">
        <v>6182.4</v>
      </c>
      <c r="H54">
        <v>4988.8999999999996</v>
      </c>
      <c r="I54">
        <v>4164</v>
      </c>
      <c r="J54">
        <v>6127.5</v>
      </c>
      <c r="K54">
        <v>5154.3</v>
      </c>
      <c r="L54">
        <v>3988.7999999999997</v>
      </c>
      <c r="M54">
        <v>7913</v>
      </c>
      <c r="N54">
        <v>6661.4</v>
      </c>
      <c r="O54">
        <v>5642.2</v>
      </c>
      <c r="P54">
        <v>4229</v>
      </c>
      <c r="Q54">
        <v>7467.5</v>
      </c>
      <c r="R54">
        <v>6915.1</v>
      </c>
      <c r="S54">
        <v>5475.2999999999993</v>
      </c>
      <c r="T54">
        <v>5296.8</v>
      </c>
      <c r="U54">
        <v>5344.2999999999993</v>
      </c>
      <c r="V54">
        <v>4564.2</v>
      </c>
    </row>
    <row r="55" spans="1:22">
      <c r="A55">
        <v>2023</v>
      </c>
      <c r="B55" t="s">
        <v>152</v>
      </c>
      <c r="C55" s="4">
        <f>'Crop Prices (2022-2024)'!$J$31</f>
        <v>3.4836344359143435E-3</v>
      </c>
      <c r="D55" s="4">
        <f>'Crop Prices (2022-2024)'!$J$31</f>
        <v>3.4836344359143435E-3</v>
      </c>
      <c r="E55" s="4">
        <f>'Crop Prices (2022-2024)'!$J$31</f>
        <v>3.4836344359143435E-3</v>
      </c>
      <c r="F55" s="4">
        <f>'Crop Prices (2022-2024)'!$J$31</f>
        <v>3.4836344359143435E-3</v>
      </c>
      <c r="G55" s="4">
        <f>'Crop Prices (2022-2024)'!$J$31</f>
        <v>3.4836344359143435E-3</v>
      </c>
      <c r="H55" s="4">
        <f>'Crop Prices (2022-2024)'!$J$31</f>
        <v>3.4836344359143435E-3</v>
      </c>
      <c r="I55" s="4">
        <f>'Crop Prices (2022-2024)'!$J$31</f>
        <v>3.4836344359143435E-3</v>
      </c>
      <c r="J55" s="4">
        <f>'Crop Prices (2022-2024)'!$J$31</f>
        <v>3.4836344359143435E-3</v>
      </c>
      <c r="K55" s="4">
        <f>'Crop Prices (2022-2024)'!$J$43</f>
        <v>9.3334903318589776E-3</v>
      </c>
      <c r="L55" s="4">
        <f>'Crop Prices (2022-2024)'!$J$43</f>
        <v>9.3334903318589776E-3</v>
      </c>
      <c r="M55" s="4">
        <f>'Crop Prices (2022-2024)'!$J$43</f>
        <v>9.3334903318589776E-3</v>
      </c>
      <c r="N55" s="4">
        <f>'Crop Prices (2022-2024)'!$J$43</f>
        <v>9.3334903318589776E-3</v>
      </c>
      <c r="O55" s="4">
        <f>'Crop Prices (2022-2024)'!$J$43</f>
        <v>9.3334903318589776E-3</v>
      </c>
      <c r="P55" s="4">
        <f>'Crop Prices (2022-2024)'!$J$43</f>
        <v>9.3334903318589776E-3</v>
      </c>
      <c r="Q55" s="4">
        <f>'Crop Prices (2022-2024)'!$J$43</f>
        <v>9.3334903318589776E-3</v>
      </c>
      <c r="R55" s="4">
        <f>'Crop Prices (2022-2024)'!$J$43</f>
        <v>9.3334903318589776E-3</v>
      </c>
      <c r="S55" s="4">
        <f>'Crop Prices (2022-2024)'!$J$43</f>
        <v>9.3334903318589776E-3</v>
      </c>
      <c r="T55" s="4">
        <f>'Crop Prices (2022-2024)'!$J$43</f>
        <v>9.3334903318589776E-3</v>
      </c>
      <c r="U55" s="4">
        <f>'Crop Prices (2022-2024)'!$J$43</f>
        <v>9.3334903318589776E-3</v>
      </c>
      <c r="V55" s="4">
        <f>'Crop Prices (2022-2024)'!$J$43</f>
        <v>9.3334903318589776E-3</v>
      </c>
    </row>
    <row r="56" spans="1:22">
      <c r="A56" s="2">
        <v>2023</v>
      </c>
      <c r="B56" s="2" t="s">
        <v>218</v>
      </c>
      <c r="C56" s="20">
        <f>C54*C55</f>
        <v>13.520681972670749</v>
      </c>
      <c r="D56" s="20">
        <f t="shared" ref="D56:V56" si="126">D54*D55</f>
        <v>23.083258499255617</v>
      </c>
      <c r="E56" s="20">
        <f t="shared" si="126"/>
        <v>24.518515886852335</v>
      </c>
      <c r="F56" s="20">
        <f t="shared" si="126"/>
        <v>20.306801853831889</v>
      </c>
      <c r="G56" s="20">
        <f t="shared" si="126"/>
        <v>21.537221536596835</v>
      </c>
      <c r="H56" s="20">
        <f t="shared" si="126"/>
        <v>17.379503837333068</v>
      </c>
      <c r="I56" s="20">
        <f t="shared" si="126"/>
        <v>14.505853791147326</v>
      </c>
      <c r="J56" s="20">
        <f t="shared" si="126"/>
        <v>21.345970006065141</v>
      </c>
      <c r="K56" s="20">
        <f t="shared" si="126"/>
        <v>48.10760921750073</v>
      </c>
      <c r="L56" s="20">
        <f t="shared" si="126"/>
        <v>37.229426235719089</v>
      </c>
      <c r="M56" s="20">
        <f t="shared" si="126"/>
        <v>73.855908996000096</v>
      </c>
      <c r="N56" s="20">
        <f t="shared" si="126"/>
        <v>62.174112496645392</v>
      </c>
      <c r="O56" s="20">
        <f t="shared" si="126"/>
        <v>52.661419150414723</v>
      </c>
      <c r="P56" s="20">
        <f t="shared" si="126"/>
        <v>39.471330613431618</v>
      </c>
      <c r="Q56" s="20">
        <f t="shared" si="126"/>
        <v>69.697839053156912</v>
      </c>
      <c r="R56" s="20">
        <f t="shared" si="126"/>
        <v>64.542018993838013</v>
      </c>
      <c r="S56" s="20">
        <f t="shared" si="126"/>
        <v>51.103659614027457</v>
      </c>
      <c r="T56" s="20">
        <f t="shared" si="126"/>
        <v>49.437631589790634</v>
      </c>
      <c r="U56" s="20">
        <f t="shared" si="126"/>
        <v>49.880972380553928</v>
      </c>
      <c r="V56" s="20">
        <f t="shared" si="126"/>
        <v>42.599916572670743</v>
      </c>
    </row>
    <row r="57" spans="1:22">
      <c r="A57">
        <v>2024</v>
      </c>
      <c r="B57" t="s">
        <v>217</v>
      </c>
      <c r="C57">
        <v>6487.9</v>
      </c>
      <c r="D57">
        <v>5297.4</v>
      </c>
      <c r="E57">
        <v>6034</v>
      </c>
      <c r="F57">
        <v>4460.7000000000007</v>
      </c>
      <c r="G57">
        <v>6510.0000000000009</v>
      </c>
      <c r="H57">
        <v>4290</v>
      </c>
      <c r="I57">
        <v>6220.2000000000007</v>
      </c>
      <c r="J57">
        <v>10110.9</v>
      </c>
      <c r="K57">
        <v>5757.4</v>
      </c>
      <c r="L57">
        <v>2891.7</v>
      </c>
      <c r="M57">
        <v>1942.5</v>
      </c>
      <c r="N57">
        <v>6867.5000000000009</v>
      </c>
      <c r="O57">
        <v>2142.5</v>
      </c>
      <c r="P57">
        <v>749.1</v>
      </c>
      <c r="Q57">
        <v>3494.9</v>
      </c>
      <c r="R57">
        <v>6069.5</v>
      </c>
      <c r="S57">
        <v>3765.3</v>
      </c>
      <c r="T57">
        <v>6629.2000000000007</v>
      </c>
      <c r="U57">
        <v>4799.8</v>
      </c>
      <c r="V57">
        <v>3866.5</v>
      </c>
    </row>
    <row r="58" spans="1:22">
      <c r="A58">
        <v>2024</v>
      </c>
      <c r="B58" t="s">
        <v>152</v>
      </c>
      <c r="C58" s="4">
        <f>'Crop Prices (2022-2024)'!$J$32</f>
        <v>2.5180924008928983E-3</v>
      </c>
      <c r="D58" s="4">
        <f>'Crop Prices (2022-2024)'!$J$32</f>
        <v>2.5180924008928983E-3</v>
      </c>
      <c r="E58" s="4">
        <f>'Crop Prices (2022-2024)'!$J$32</f>
        <v>2.5180924008928983E-3</v>
      </c>
      <c r="F58" s="4">
        <f>'Crop Prices (2022-2024)'!$J$32</f>
        <v>2.5180924008928983E-3</v>
      </c>
      <c r="G58" s="4">
        <f>'Crop Prices (2022-2024)'!$J$32</f>
        <v>2.5180924008928983E-3</v>
      </c>
      <c r="H58" s="4">
        <f>'Crop Prices (2022-2024)'!$J$32</f>
        <v>2.5180924008928983E-3</v>
      </c>
      <c r="I58" s="4">
        <f>'Crop Prices (2022-2024)'!$J$32</f>
        <v>2.5180924008928983E-3</v>
      </c>
      <c r="J58" s="4">
        <f>'Crop Prices (2022-2024)'!$J$32</f>
        <v>2.5180924008928983E-3</v>
      </c>
      <c r="K58" s="4">
        <f>'Crop Prices (2022-2024)'!$J$44</f>
        <v>9.2223773517177993E-3</v>
      </c>
      <c r="L58" s="4">
        <f>'Crop Prices (2022-2024)'!$J$44</f>
        <v>9.2223773517177993E-3</v>
      </c>
      <c r="M58" s="4">
        <f>'Crop Prices (2022-2024)'!$J$44</f>
        <v>9.2223773517177993E-3</v>
      </c>
      <c r="N58" s="4">
        <f>'Crop Prices (2022-2024)'!$J$44</f>
        <v>9.2223773517177993E-3</v>
      </c>
      <c r="O58" s="4">
        <f>'Crop Prices (2022-2024)'!$J$44</f>
        <v>9.2223773517177993E-3</v>
      </c>
      <c r="P58" s="4">
        <f>'Crop Prices (2022-2024)'!$J$44</f>
        <v>9.2223773517177993E-3</v>
      </c>
      <c r="Q58" s="4">
        <f>'Crop Prices (2022-2024)'!$J$44</f>
        <v>9.2223773517177993E-3</v>
      </c>
      <c r="R58" s="4">
        <f>'Crop Prices (2022-2024)'!$J$44</f>
        <v>9.2223773517177993E-3</v>
      </c>
      <c r="S58" s="4">
        <f>'Crop Prices (2022-2024)'!$J$44</f>
        <v>9.2223773517177993E-3</v>
      </c>
      <c r="T58" s="4">
        <f>'Crop Prices (2022-2024)'!$J$44</f>
        <v>9.2223773517177993E-3</v>
      </c>
      <c r="U58" s="4">
        <f>'Crop Prices (2022-2024)'!$J$44</f>
        <v>9.2223773517177993E-3</v>
      </c>
      <c r="V58" s="4">
        <f>'Crop Prices (2022-2024)'!$J$44</f>
        <v>9.2223773517177993E-3</v>
      </c>
    </row>
    <row r="59" spans="1:22">
      <c r="A59" s="2">
        <v>2024</v>
      </c>
      <c r="B59" s="2" t="s">
        <v>218</v>
      </c>
      <c r="C59" s="20">
        <f>C57*C58</f>
        <v>16.337131687753033</v>
      </c>
      <c r="D59" s="20">
        <f t="shared" ref="D59:V59" si="127">D57*D58</f>
        <v>13.339342684490038</v>
      </c>
      <c r="E59" s="20">
        <f t="shared" si="127"/>
        <v>15.194169546987748</v>
      </c>
      <c r="F59" s="20">
        <f t="shared" si="127"/>
        <v>11.232454772662953</v>
      </c>
      <c r="G59" s="20">
        <f t="shared" si="127"/>
        <v>16.392781529812769</v>
      </c>
      <c r="H59" s="20">
        <f t="shared" si="127"/>
        <v>10.802616399830534</v>
      </c>
      <c r="I59" s="20">
        <f t="shared" si="127"/>
        <v>15.663038352034008</v>
      </c>
      <c r="J59" s="20">
        <f t="shared" si="127"/>
        <v>25.460180456188006</v>
      </c>
      <c r="K59" s="20">
        <f t="shared" si="127"/>
        <v>53.096915364780052</v>
      </c>
      <c r="L59" s="20">
        <f t="shared" si="127"/>
        <v>26.66834858796236</v>
      </c>
      <c r="M59" s="20">
        <f>M57*M58</f>
        <v>17.914468005711825</v>
      </c>
      <c r="N59" s="20">
        <f t="shared" si="127"/>
        <v>63.334676462921998</v>
      </c>
      <c r="O59" s="20">
        <f t="shared" si="127"/>
        <v>19.758943476055386</v>
      </c>
      <c r="P59" s="20">
        <f t="shared" si="127"/>
        <v>6.9084828741718036</v>
      </c>
      <c r="Q59" s="20">
        <f t="shared" si="127"/>
        <v>32.231286606518537</v>
      </c>
      <c r="R59" s="20">
        <f t="shared" si="127"/>
        <v>55.975219336251186</v>
      </c>
      <c r="S59" s="20">
        <f t="shared" si="127"/>
        <v>34.725017442423031</v>
      </c>
      <c r="T59" s="20">
        <f t="shared" si="127"/>
        <v>61.136983940007639</v>
      </c>
      <c r="U59" s="20">
        <f t="shared" si="127"/>
        <v>44.265566812775091</v>
      </c>
      <c r="V59" s="20">
        <f t="shared" si="127"/>
        <v>35.658322030416869</v>
      </c>
    </row>
    <row r="60" spans="1:22">
      <c r="A60" s="5"/>
      <c r="B60" s="5" t="s">
        <v>151</v>
      </c>
      <c r="C60" s="7">
        <f>C53+C56+C59</f>
        <v>34.970001283861976</v>
      </c>
      <c r="D60" s="7">
        <f t="shared" ref="D60:V60" si="128">D53+D56+D59</f>
        <v>50.993183301341674</v>
      </c>
      <c r="E60" s="7">
        <f t="shared" si="128"/>
        <v>45.348136874524585</v>
      </c>
      <c r="F60" s="7">
        <f t="shared" si="128"/>
        <v>44.024046824795576</v>
      </c>
      <c r="G60" s="7">
        <f t="shared" si="128"/>
        <v>47.570889221527253</v>
      </c>
      <c r="H60" s="7">
        <f t="shared" si="128"/>
        <v>35.925153646213232</v>
      </c>
      <c r="I60" s="7">
        <f t="shared" si="128"/>
        <v>43.558574657020799</v>
      </c>
      <c r="J60" s="7">
        <f t="shared" si="128"/>
        <v>54.293150794732284</v>
      </c>
      <c r="K60" s="7">
        <f t="shared" si="128"/>
        <v>117.07627092580944</v>
      </c>
      <c r="L60" s="7">
        <f t="shared" si="128"/>
        <v>81.142337910137243</v>
      </c>
      <c r="M60" s="7">
        <f t="shared" si="128"/>
        <v>117.75548235081645</v>
      </c>
      <c r="N60" s="7">
        <f t="shared" si="128"/>
        <v>141.093566983942</v>
      </c>
      <c r="O60" s="7">
        <f t="shared" si="128"/>
        <v>94.949443175157455</v>
      </c>
      <c r="P60" s="7">
        <f t="shared" si="128"/>
        <v>66.524658693002266</v>
      </c>
      <c r="Q60" s="7">
        <f t="shared" si="128"/>
        <v>123.52369842552686</v>
      </c>
      <c r="R60" s="7">
        <f t="shared" si="128"/>
        <v>130.95395356848707</v>
      </c>
      <c r="S60" s="7">
        <f t="shared" si="128"/>
        <v>97.784587690485182</v>
      </c>
      <c r="T60" s="7">
        <f t="shared" si="128"/>
        <v>132.87213662787141</v>
      </c>
      <c r="U60" s="7">
        <f t="shared" si="128"/>
        <v>110.64680404566769</v>
      </c>
      <c r="V60" s="7">
        <f t="shared" si="128"/>
        <v>103.26087028315753</v>
      </c>
    </row>
    <row r="62" spans="1:22">
      <c r="A62" s="5" t="s">
        <v>1</v>
      </c>
      <c r="B62" s="5" t="s">
        <v>310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>
      <c r="A63">
        <v>2022</v>
      </c>
      <c r="B63" t="s">
        <v>219</v>
      </c>
      <c r="C63">
        <v>30.2</v>
      </c>
      <c r="D63">
        <v>49.8</v>
      </c>
      <c r="E63">
        <v>48.5</v>
      </c>
      <c r="F63">
        <v>56.7</v>
      </c>
      <c r="G63">
        <v>62.5</v>
      </c>
      <c r="H63">
        <v>25.5</v>
      </c>
      <c r="I63">
        <v>54.2</v>
      </c>
      <c r="J63">
        <v>30.4</v>
      </c>
      <c r="K63">
        <v>42.1</v>
      </c>
      <c r="L63">
        <v>38.200000000000003</v>
      </c>
      <c r="M63">
        <v>58.1</v>
      </c>
      <c r="N63">
        <v>58.2</v>
      </c>
      <c r="O63">
        <v>47.8</v>
      </c>
      <c r="P63">
        <v>36.4</v>
      </c>
      <c r="Q63">
        <v>58.9</v>
      </c>
      <c r="R63">
        <v>48.2</v>
      </c>
      <c r="S63">
        <v>79.8</v>
      </c>
      <c r="T63">
        <v>51.5</v>
      </c>
      <c r="U63">
        <v>58</v>
      </c>
      <c r="V63">
        <v>73.400000000000006</v>
      </c>
    </row>
    <row r="64" spans="1:22">
      <c r="A64">
        <v>2022</v>
      </c>
      <c r="B64" t="s">
        <v>155</v>
      </c>
      <c r="C64" s="4">
        <f>'Crop Prices (2022-2024)'!$J$33</f>
        <v>5.0314999787143691E-3</v>
      </c>
      <c r="D64" s="4">
        <f>'Crop Prices (2022-2024)'!$J$33</f>
        <v>5.0314999787143691E-3</v>
      </c>
      <c r="E64" s="4">
        <f>'Crop Prices (2022-2024)'!$J$33</f>
        <v>5.0314999787143691E-3</v>
      </c>
      <c r="F64" s="4">
        <f>'Crop Prices (2022-2024)'!$J$33</f>
        <v>5.0314999787143691E-3</v>
      </c>
      <c r="G64" s="4">
        <f>'Crop Prices (2022-2024)'!$J$33</f>
        <v>5.0314999787143691E-3</v>
      </c>
      <c r="H64" s="4">
        <f>'Crop Prices (2022-2024)'!$J$33</f>
        <v>5.0314999787143691E-3</v>
      </c>
      <c r="I64" s="4">
        <f>'Crop Prices (2022-2024)'!$J$33</f>
        <v>5.0314999787143691E-3</v>
      </c>
      <c r="J64" s="4">
        <f>'Crop Prices (2022-2024)'!$J$33</f>
        <v>5.0314999787143691E-3</v>
      </c>
      <c r="K64" s="4">
        <f>'Crop Prices (2022-2024)'!$J$45</f>
        <v>1.2738309509042227E-2</v>
      </c>
      <c r="L64" s="4">
        <f>'Crop Prices (2022-2024)'!$J$45</f>
        <v>1.2738309509042227E-2</v>
      </c>
      <c r="M64" s="4">
        <f>'Crop Prices (2022-2024)'!$J$45</f>
        <v>1.2738309509042227E-2</v>
      </c>
      <c r="N64" s="4">
        <f>'Crop Prices (2022-2024)'!$J$45</f>
        <v>1.2738309509042227E-2</v>
      </c>
      <c r="O64" s="4">
        <f>'Crop Prices (2022-2024)'!$J$45</f>
        <v>1.2738309509042227E-2</v>
      </c>
      <c r="P64" s="4">
        <f>'Crop Prices (2022-2024)'!$J$45</f>
        <v>1.2738309509042227E-2</v>
      </c>
      <c r="Q64" s="4">
        <f>'Crop Prices (2022-2024)'!$J$45</f>
        <v>1.2738309509042227E-2</v>
      </c>
      <c r="R64" s="4">
        <f>'Crop Prices (2022-2024)'!$J$45</f>
        <v>1.2738309509042227E-2</v>
      </c>
      <c r="S64" s="4">
        <f>'Crop Prices (2022-2024)'!$J$45</f>
        <v>1.2738309509042227E-2</v>
      </c>
      <c r="T64" s="4">
        <f>'Crop Prices (2022-2024)'!$J$45</f>
        <v>1.2738309509042227E-2</v>
      </c>
      <c r="U64" s="4">
        <f>'Crop Prices (2022-2024)'!$J$45</f>
        <v>1.2738309509042227E-2</v>
      </c>
      <c r="V64" s="4">
        <f>'Crop Prices (2022-2024)'!$J$45</f>
        <v>1.2738309509042227E-2</v>
      </c>
    </row>
    <row r="65" spans="1:22">
      <c r="A65" s="2">
        <v>2022</v>
      </c>
      <c r="B65" s="2" t="s">
        <v>220</v>
      </c>
      <c r="C65" s="20">
        <f>C63*C64</f>
        <v>0.15195129935717394</v>
      </c>
      <c r="D65" s="20">
        <f t="shared" ref="D65:V65" si="129">D63*D64</f>
        <v>0.25056869893997558</v>
      </c>
      <c r="E65" s="20">
        <f t="shared" si="129"/>
        <v>0.2440277489676469</v>
      </c>
      <c r="F65" s="20">
        <f t="shared" si="129"/>
        <v>0.28528604879310476</v>
      </c>
      <c r="G65" s="20">
        <f t="shared" si="129"/>
        <v>0.31446874866964808</v>
      </c>
      <c r="H65" s="20">
        <f t="shared" si="129"/>
        <v>0.12830324945721641</v>
      </c>
      <c r="I65" s="20">
        <f t="shared" si="129"/>
        <v>0.27270729884631884</v>
      </c>
      <c r="J65" s="20">
        <f t="shared" si="129"/>
        <v>0.15295759935291681</v>
      </c>
      <c r="K65" s="20">
        <f t="shared" si="129"/>
        <v>0.53628283033067781</v>
      </c>
      <c r="L65" s="20">
        <f t="shared" si="129"/>
        <v>0.48660342324541311</v>
      </c>
      <c r="M65" s="20">
        <f t="shared" si="129"/>
        <v>0.74009578247535335</v>
      </c>
      <c r="N65" s="20">
        <f t="shared" si="129"/>
        <v>0.74136961342625762</v>
      </c>
      <c r="O65" s="20">
        <f t="shared" si="129"/>
        <v>0.6088911945322184</v>
      </c>
      <c r="P65" s="20">
        <f t="shared" si="129"/>
        <v>0.46367446612913704</v>
      </c>
      <c r="Q65" s="20">
        <f t="shared" si="129"/>
        <v>0.75028643008258711</v>
      </c>
      <c r="R65" s="20">
        <f t="shared" si="129"/>
        <v>0.6139865183358354</v>
      </c>
      <c r="S65" s="20">
        <f t="shared" si="129"/>
        <v>1.0165170988215697</v>
      </c>
      <c r="T65" s="20">
        <f t="shared" si="129"/>
        <v>0.65602293971567471</v>
      </c>
      <c r="U65" s="20">
        <f t="shared" si="129"/>
        <v>0.73882195152444918</v>
      </c>
      <c r="V65" s="20">
        <f t="shared" si="129"/>
        <v>0.93499191796369951</v>
      </c>
    </row>
    <row r="66" spans="1:22">
      <c r="A66">
        <v>2023</v>
      </c>
      <c r="B66" t="s">
        <v>219</v>
      </c>
      <c r="C66">
        <v>537.79999999999995</v>
      </c>
      <c r="D66">
        <v>1769.5</v>
      </c>
      <c r="E66">
        <v>856.19999999999993</v>
      </c>
      <c r="F66">
        <v>959.2</v>
      </c>
      <c r="G66">
        <v>1879.1</v>
      </c>
      <c r="H66">
        <v>751.2</v>
      </c>
      <c r="I66">
        <v>1908.1</v>
      </c>
      <c r="J66">
        <v>1503.1999999999998</v>
      </c>
      <c r="K66">
        <v>327.29999999999995</v>
      </c>
      <c r="L66">
        <v>1206.7</v>
      </c>
      <c r="M66">
        <v>1344.7</v>
      </c>
      <c r="N66">
        <v>191.2</v>
      </c>
      <c r="O66">
        <v>982</v>
      </c>
      <c r="P66">
        <v>1136.8999999999999</v>
      </c>
      <c r="Q66">
        <v>748.5</v>
      </c>
      <c r="R66">
        <v>1421.3999999999999</v>
      </c>
      <c r="S66">
        <v>128.5</v>
      </c>
      <c r="T66">
        <v>117.5</v>
      </c>
      <c r="U66">
        <v>935.8</v>
      </c>
      <c r="V66">
        <v>1006.9</v>
      </c>
    </row>
    <row r="67" spans="1:22">
      <c r="A67">
        <v>2023</v>
      </c>
      <c r="B67" t="s">
        <v>155</v>
      </c>
      <c r="C67" s="4">
        <f>'Crop Prices (2022-2024)'!$J$34</f>
        <v>5.6498966241429497E-3</v>
      </c>
      <c r="D67" s="4">
        <f>'Crop Prices (2022-2024)'!$J$34</f>
        <v>5.6498966241429497E-3</v>
      </c>
      <c r="E67" s="4">
        <f>'Crop Prices (2022-2024)'!$J$34</f>
        <v>5.6498966241429497E-3</v>
      </c>
      <c r="F67" s="4">
        <f>'Crop Prices (2022-2024)'!$J$34</f>
        <v>5.6498966241429497E-3</v>
      </c>
      <c r="G67" s="4">
        <f>'Crop Prices (2022-2024)'!$J$34</f>
        <v>5.6498966241429497E-3</v>
      </c>
      <c r="H67" s="4">
        <f>'Crop Prices (2022-2024)'!$J$34</f>
        <v>5.6498966241429497E-3</v>
      </c>
      <c r="I67" s="4">
        <f>'Crop Prices (2022-2024)'!$J$34</f>
        <v>5.6498966241429497E-3</v>
      </c>
      <c r="J67" s="4">
        <f>'Crop Prices (2022-2024)'!$J$34</f>
        <v>5.6498966241429497E-3</v>
      </c>
      <c r="K67" s="4">
        <f>'Crop Prices (2022-2024)'!$J$46</f>
        <v>1.3571656860101065E-2</v>
      </c>
      <c r="L67" s="4">
        <f>'Crop Prices (2022-2024)'!$J$46</f>
        <v>1.3571656860101065E-2</v>
      </c>
      <c r="M67" s="4">
        <f>'Crop Prices (2022-2024)'!$J$46</f>
        <v>1.3571656860101065E-2</v>
      </c>
      <c r="N67" s="4">
        <f>'Crop Prices (2022-2024)'!$J$46</f>
        <v>1.3571656860101065E-2</v>
      </c>
      <c r="O67" s="4">
        <f>'Crop Prices (2022-2024)'!$J$46</f>
        <v>1.3571656860101065E-2</v>
      </c>
      <c r="P67" s="4">
        <f>'Crop Prices (2022-2024)'!$J$46</f>
        <v>1.3571656860101065E-2</v>
      </c>
      <c r="Q67" s="4">
        <f>'Crop Prices (2022-2024)'!$J$46</f>
        <v>1.3571656860101065E-2</v>
      </c>
      <c r="R67" s="4">
        <f>'Crop Prices (2022-2024)'!$J$46</f>
        <v>1.3571656860101065E-2</v>
      </c>
      <c r="S67" s="4">
        <f>'Crop Prices (2022-2024)'!$J$46</f>
        <v>1.3571656860101065E-2</v>
      </c>
      <c r="T67" s="4">
        <f>'Crop Prices (2022-2024)'!$J$46</f>
        <v>1.3571656860101065E-2</v>
      </c>
      <c r="U67" s="4">
        <f>'Crop Prices (2022-2024)'!$J$46</f>
        <v>1.3571656860101065E-2</v>
      </c>
      <c r="V67" s="4">
        <f>'Crop Prices (2022-2024)'!$J$46</f>
        <v>1.3571656860101065E-2</v>
      </c>
    </row>
    <row r="68" spans="1:22">
      <c r="A68" s="2">
        <v>2023</v>
      </c>
      <c r="B68" s="2" t="s">
        <v>220</v>
      </c>
      <c r="C68" s="20">
        <f>C66*C67</f>
        <v>3.0385144044640779</v>
      </c>
      <c r="D68" s="20">
        <f t="shared" ref="D68:V68" si="130">D66*D67</f>
        <v>9.9974920764209489</v>
      </c>
      <c r="E68" s="20">
        <f t="shared" si="130"/>
        <v>4.8374414895911935</v>
      </c>
      <c r="F68" s="20">
        <f t="shared" si="130"/>
        <v>5.4193808418779179</v>
      </c>
      <c r="G68" s="20">
        <f t="shared" si="130"/>
        <v>10.616720746427017</v>
      </c>
      <c r="H68" s="20">
        <f t="shared" si="130"/>
        <v>4.244202344056184</v>
      </c>
      <c r="I68" s="20">
        <f t="shared" si="130"/>
        <v>10.780567748527162</v>
      </c>
      <c r="J68" s="20">
        <f t="shared" si="130"/>
        <v>8.4929246054116803</v>
      </c>
      <c r="K68" s="20">
        <f t="shared" si="130"/>
        <v>4.442003290311078</v>
      </c>
      <c r="L68" s="20">
        <f t="shared" si="130"/>
        <v>16.376918333083957</v>
      </c>
      <c r="M68" s="20">
        <f t="shared" si="130"/>
        <v>18.249806979777901</v>
      </c>
      <c r="N68" s="20">
        <f t="shared" si="130"/>
        <v>2.5949007916513236</v>
      </c>
      <c r="O68" s="20">
        <f t="shared" si="130"/>
        <v>13.327367036619245</v>
      </c>
      <c r="P68" s="20">
        <f t="shared" si="130"/>
        <v>15.429616684248899</v>
      </c>
      <c r="Q68" s="20">
        <f t="shared" si="130"/>
        <v>10.158385159785647</v>
      </c>
      <c r="R68" s="20">
        <f t="shared" si="130"/>
        <v>19.290753060947651</v>
      </c>
      <c r="S68" s="20">
        <f t="shared" si="130"/>
        <v>1.7439579065229869</v>
      </c>
      <c r="T68" s="20">
        <f t="shared" si="130"/>
        <v>1.594669681061875</v>
      </c>
      <c r="U68" s="20">
        <f t="shared" si="130"/>
        <v>12.700356489682576</v>
      </c>
      <c r="V68" s="20">
        <f t="shared" si="130"/>
        <v>13.665301292435762</v>
      </c>
    </row>
    <row r="69" spans="1:22">
      <c r="A69">
        <v>2024</v>
      </c>
      <c r="B69" t="s">
        <v>219</v>
      </c>
      <c r="C69">
        <v>521.20000000000005</v>
      </c>
      <c r="D69">
        <v>994.10000000000014</v>
      </c>
      <c r="E69">
        <v>1966.6</v>
      </c>
      <c r="F69">
        <v>1432.6</v>
      </c>
      <c r="G69">
        <v>1006.7</v>
      </c>
      <c r="H69">
        <v>821.5</v>
      </c>
      <c r="I69">
        <v>1054.5</v>
      </c>
      <c r="J69">
        <v>1051.5999999999999</v>
      </c>
      <c r="K69">
        <v>728.30000000000007</v>
      </c>
      <c r="L69">
        <v>1496</v>
      </c>
      <c r="M69">
        <v>2180.2000000000003</v>
      </c>
      <c r="N69">
        <v>2762</v>
      </c>
      <c r="O69">
        <v>816.80000000000007</v>
      </c>
      <c r="P69">
        <v>902.8</v>
      </c>
      <c r="Q69">
        <v>1297.3</v>
      </c>
      <c r="R69">
        <v>683.80000000000007</v>
      </c>
      <c r="S69">
        <v>598.5</v>
      </c>
      <c r="T69">
        <v>646.49999999999989</v>
      </c>
      <c r="U69">
        <v>853.6</v>
      </c>
      <c r="V69">
        <v>603.1</v>
      </c>
    </row>
    <row r="70" spans="1:22">
      <c r="A70">
        <v>2024</v>
      </c>
      <c r="B70" t="s">
        <v>155</v>
      </c>
      <c r="C70" s="4">
        <f>'Crop Prices (2022-2024)'!$J$35</f>
        <v>5.3406983014286586E-3</v>
      </c>
      <c r="D70" s="4">
        <f>'Crop Prices (2022-2024)'!$J$35</f>
        <v>5.3406983014286586E-3</v>
      </c>
      <c r="E70" s="4">
        <f>'Crop Prices (2022-2024)'!$J$35</f>
        <v>5.3406983014286586E-3</v>
      </c>
      <c r="F70" s="4">
        <f>'Crop Prices (2022-2024)'!$J$35</f>
        <v>5.3406983014286586E-3</v>
      </c>
      <c r="G70" s="4">
        <f>'Crop Prices (2022-2024)'!$J$35</f>
        <v>5.3406983014286586E-3</v>
      </c>
      <c r="H70" s="4">
        <f>'Crop Prices (2022-2024)'!$J$35</f>
        <v>5.3406983014286586E-3</v>
      </c>
      <c r="I70" s="4">
        <f>'Crop Prices (2022-2024)'!$J$35</f>
        <v>5.3406983014286586E-3</v>
      </c>
      <c r="J70" s="4">
        <f>'Crop Prices (2022-2024)'!$J$35</f>
        <v>5.3406983014286586E-3</v>
      </c>
      <c r="K70" s="4">
        <f>'Crop Prices (2022-2024)'!$J$47</f>
        <v>1.1349397257277499E-2</v>
      </c>
      <c r="L70" s="4">
        <f>'Crop Prices (2022-2024)'!$J$47</f>
        <v>1.1349397257277499E-2</v>
      </c>
      <c r="M70" s="4">
        <f>'Crop Prices (2022-2024)'!$J$47</f>
        <v>1.1349397257277499E-2</v>
      </c>
      <c r="N70" s="4">
        <f>'Crop Prices (2022-2024)'!$J$47</f>
        <v>1.1349397257277499E-2</v>
      </c>
      <c r="O70" s="4">
        <f>'Crop Prices (2022-2024)'!$J$47</f>
        <v>1.1349397257277499E-2</v>
      </c>
      <c r="P70" s="4">
        <f>'Crop Prices (2022-2024)'!$J$47</f>
        <v>1.1349397257277499E-2</v>
      </c>
      <c r="Q70" s="4">
        <f>'Crop Prices (2022-2024)'!$J$47</f>
        <v>1.1349397257277499E-2</v>
      </c>
      <c r="R70" s="4">
        <f>'Crop Prices (2022-2024)'!$J$47</f>
        <v>1.1349397257277499E-2</v>
      </c>
      <c r="S70" s="4">
        <f>'Crop Prices (2022-2024)'!$J$47</f>
        <v>1.1349397257277499E-2</v>
      </c>
      <c r="T70" s="4">
        <f>'Crop Prices (2022-2024)'!$J$47</f>
        <v>1.1349397257277499E-2</v>
      </c>
      <c r="U70" s="4">
        <f>'Crop Prices (2022-2024)'!$J$47</f>
        <v>1.1349397257277499E-2</v>
      </c>
      <c r="V70" s="4">
        <f>'Crop Prices (2022-2024)'!$J$47</f>
        <v>1.1349397257277499E-2</v>
      </c>
    </row>
    <row r="71" spans="1:22">
      <c r="A71" s="2">
        <v>2024</v>
      </c>
      <c r="B71" s="2" t="s">
        <v>220</v>
      </c>
      <c r="C71" s="20">
        <f>C69*C70</f>
        <v>2.7835719547046169</v>
      </c>
      <c r="D71" s="20">
        <f t="shared" ref="D71:V71" si="131">D69*D70</f>
        <v>5.3091881814502306</v>
      </c>
      <c r="E71" s="20">
        <f t="shared" si="131"/>
        <v>10.503017279589599</v>
      </c>
      <c r="F71" s="20">
        <f t="shared" si="131"/>
        <v>7.651084386626696</v>
      </c>
      <c r="G71" s="20">
        <f t="shared" si="131"/>
        <v>5.3764809800482309</v>
      </c>
      <c r="H71" s="20">
        <f t="shared" si="131"/>
        <v>4.3873836546236431</v>
      </c>
      <c r="I71" s="20">
        <f t="shared" si="131"/>
        <v>5.6317663588565203</v>
      </c>
      <c r="J71" s="20">
        <f t="shared" si="131"/>
        <v>5.6162783337823772</v>
      </c>
      <c r="K71" s="20">
        <f t="shared" si="131"/>
        <v>8.2657660224752032</v>
      </c>
      <c r="L71" s="20">
        <f t="shared" si="131"/>
        <v>16.978698296887138</v>
      </c>
      <c r="M71" s="20">
        <f t="shared" si="131"/>
        <v>24.743955900316404</v>
      </c>
      <c r="N71" s="20">
        <f t="shared" si="131"/>
        <v>31.34703522460045</v>
      </c>
      <c r="O71" s="20">
        <f t="shared" si="131"/>
        <v>9.2701876797442608</v>
      </c>
      <c r="P71" s="20">
        <f t="shared" si="131"/>
        <v>10.246235843870124</v>
      </c>
      <c r="Q71" s="20">
        <f t="shared" si="131"/>
        <v>14.723573061866098</v>
      </c>
      <c r="R71" s="20">
        <f t="shared" si="131"/>
        <v>7.7607178445263543</v>
      </c>
      <c r="S71" s="20">
        <f t="shared" si="131"/>
        <v>6.7926142584805831</v>
      </c>
      <c r="T71" s="20">
        <f t="shared" si="131"/>
        <v>7.3373853268299012</v>
      </c>
      <c r="U71" s="20">
        <f t="shared" si="131"/>
        <v>9.6878454988120737</v>
      </c>
      <c r="V71" s="20">
        <f t="shared" si="131"/>
        <v>6.8448214858640597</v>
      </c>
    </row>
    <row r="72" spans="1:22">
      <c r="A72" s="5"/>
      <c r="B72" s="5" t="s">
        <v>154</v>
      </c>
      <c r="C72" s="7">
        <f>C65+C68+C71</f>
        <v>5.9740376585258694</v>
      </c>
      <c r="D72" s="7">
        <f t="shared" ref="D72:V72" si="132">D65+D68+D71</f>
        <v>15.557248956811154</v>
      </c>
      <c r="E72" s="7">
        <f t="shared" si="132"/>
        <v>15.58448651814844</v>
      </c>
      <c r="F72" s="7">
        <f t="shared" si="132"/>
        <v>13.355751277297719</v>
      </c>
      <c r="G72" s="7">
        <f t="shared" si="132"/>
        <v>16.307670475144896</v>
      </c>
      <c r="H72" s="7">
        <f t="shared" si="132"/>
        <v>8.7598892481370427</v>
      </c>
      <c r="I72" s="7">
        <f t="shared" si="132"/>
        <v>16.685041406229999</v>
      </c>
      <c r="J72" s="7">
        <f t="shared" si="132"/>
        <v>14.262160538546974</v>
      </c>
      <c r="K72" s="7">
        <f t="shared" si="132"/>
        <v>13.24405214311696</v>
      </c>
      <c r="L72" s="7">
        <f t="shared" si="132"/>
        <v>33.842220053216508</v>
      </c>
      <c r="M72" s="7">
        <f t="shared" si="132"/>
        <v>43.733858662569659</v>
      </c>
      <c r="N72" s="7">
        <f t="shared" si="132"/>
        <v>34.683305629678031</v>
      </c>
      <c r="O72" s="7">
        <f t="shared" si="132"/>
        <v>23.206445910895724</v>
      </c>
      <c r="P72" s="7">
        <f t="shared" si="132"/>
        <v>26.139526994248158</v>
      </c>
      <c r="Q72" s="7">
        <f t="shared" si="132"/>
        <v>25.632244651734332</v>
      </c>
      <c r="R72" s="7">
        <f t="shared" si="132"/>
        <v>27.665457423809841</v>
      </c>
      <c r="S72" s="7">
        <f t="shared" si="132"/>
        <v>9.5530892638251395</v>
      </c>
      <c r="T72" s="7">
        <f t="shared" si="132"/>
        <v>9.5880779476074505</v>
      </c>
      <c r="U72" s="7">
        <f t="shared" si="132"/>
        <v>23.1270239400191</v>
      </c>
      <c r="V72" s="7">
        <f t="shared" si="132"/>
        <v>21.445114696263524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BB65-5ED4-4B17-8E2B-AEBB29803C09}">
  <dimension ref="A1:J17"/>
  <sheetViews>
    <sheetView workbookViewId="0">
      <selection sqref="A1:J16"/>
    </sheetView>
  </sheetViews>
  <sheetFormatPr defaultRowHeight="15"/>
  <cols>
    <col min="1" max="1" width="32.28515625" bestFit="1" customWidth="1"/>
    <col min="2" max="2" width="29.28515625" bestFit="1" customWidth="1"/>
    <col min="3" max="3" width="9.7109375" bestFit="1" customWidth="1"/>
    <col min="4" max="4" width="10.5703125" bestFit="1" customWidth="1"/>
    <col min="5" max="5" width="12.7109375" bestFit="1" customWidth="1"/>
    <col min="6" max="6" width="13.85546875" bestFit="1" customWidth="1"/>
    <col min="7" max="7" width="18.140625" bestFit="1" customWidth="1"/>
    <col min="8" max="8" width="11.28515625" bestFit="1" customWidth="1"/>
    <col min="9" max="9" width="18.7109375" bestFit="1" customWidth="1"/>
    <col min="10" max="10" width="106.140625" bestFit="1" customWidth="1"/>
  </cols>
  <sheetData>
    <row r="1" spans="1:10">
      <c r="A1" s="5" t="s">
        <v>177</v>
      </c>
      <c r="B1" s="5" t="s">
        <v>178</v>
      </c>
      <c r="C1" s="5" t="s">
        <v>1</v>
      </c>
      <c r="D1" s="5" t="s">
        <v>179</v>
      </c>
      <c r="E1" s="5" t="s">
        <v>180</v>
      </c>
      <c r="F1" s="5" t="s">
        <v>187</v>
      </c>
      <c r="G1" s="5" t="s">
        <v>181</v>
      </c>
      <c r="H1" s="5" t="s">
        <v>190</v>
      </c>
      <c r="I1" s="5" t="s">
        <v>188</v>
      </c>
      <c r="J1" s="5" t="s">
        <v>244</v>
      </c>
    </row>
    <row r="2" spans="1:10">
      <c r="A2" t="s">
        <v>169</v>
      </c>
      <c r="B2" t="s">
        <v>165</v>
      </c>
      <c r="C2" s="60" t="s">
        <v>166</v>
      </c>
      <c r="D2" s="3">
        <v>121.05</v>
      </c>
      <c r="E2" s="22">
        <v>0.5</v>
      </c>
      <c r="F2" s="3">
        <f>D2*E2</f>
        <v>60.524999999999999</v>
      </c>
      <c r="G2" t="s">
        <v>183</v>
      </c>
      <c r="H2" s="23">
        <v>20</v>
      </c>
      <c r="I2" s="3">
        <f>F2/H2</f>
        <v>3.0262500000000001</v>
      </c>
    </row>
    <row r="3" spans="1:10">
      <c r="A3" t="s">
        <v>170</v>
      </c>
      <c r="B3" t="s">
        <v>175</v>
      </c>
      <c r="C3">
        <v>2022</v>
      </c>
      <c r="D3" s="24">
        <f>116.1*1.2919</f>
        <v>149.98958999999999</v>
      </c>
      <c r="E3" s="22">
        <v>0.5</v>
      </c>
      <c r="F3" s="3">
        <f t="shared" ref="F3:F16" si="0">D3*E3</f>
        <v>74.994794999999996</v>
      </c>
      <c r="G3" t="s">
        <v>183</v>
      </c>
      <c r="H3" s="23">
        <v>20</v>
      </c>
      <c r="I3" s="3">
        <f t="shared" ref="I3:I14" si="1">F3/H3</f>
        <v>3.7497397499999998</v>
      </c>
      <c r="J3" t="s">
        <v>344</v>
      </c>
    </row>
    <row r="4" spans="1:10">
      <c r="A4" t="s">
        <v>170</v>
      </c>
      <c r="B4" t="s">
        <v>175</v>
      </c>
      <c r="C4">
        <v>2023</v>
      </c>
      <c r="D4" s="24">
        <f>118.62*1.3369</f>
        <v>158.583078</v>
      </c>
      <c r="E4" s="22">
        <v>0.5</v>
      </c>
      <c r="F4" s="3">
        <f t="shared" si="0"/>
        <v>79.291539</v>
      </c>
      <c r="G4" t="s">
        <v>183</v>
      </c>
      <c r="H4" s="23">
        <v>20</v>
      </c>
      <c r="I4" s="3">
        <f t="shared" si="1"/>
        <v>3.9645769500000001</v>
      </c>
      <c r="J4" t="s">
        <v>346</v>
      </c>
    </row>
    <row r="5" spans="1:10">
      <c r="A5" t="s">
        <v>171</v>
      </c>
      <c r="B5" t="s">
        <v>175</v>
      </c>
      <c r="C5">
        <v>2024</v>
      </c>
      <c r="D5" s="24">
        <f>(114.4*1.3527) + (32.9*1.3682)</f>
        <v>199.76266000000001</v>
      </c>
      <c r="E5" s="22">
        <v>0.75</v>
      </c>
      <c r="F5" s="3">
        <f t="shared" si="0"/>
        <v>149.82199500000002</v>
      </c>
      <c r="G5" t="s">
        <v>183</v>
      </c>
      <c r="H5" s="23">
        <v>20</v>
      </c>
      <c r="I5" s="3">
        <f>F5/H5</f>
        <v>7.4910997500000009</v>
      </c>
      <c r="J5" t="s">
        <v>345</v>
      </c>
    </row>
    <row r="6" spans="1:10">
      <c r="A6" t="s">
        <v>184</v>
      </c>
      <c r="B6" t="s">
        <v>189</v>
      </c>
      <c r="C6">
        <v>2022</v>
      </c>
      <c r="D6" s="31">
        <f>23.08*2</f>
        <v>46.16</v>
      </c>
      <c r="E6" s="22">
        <v>1</v>
      </c>
      <c r="F6" s="3">
        <f t="shared" si="0"/>
        <v>46.16</v>
      </c>
      <c r="G6" t="s">
        <v>185</v>
      </c>
      <c r="H6" s="23">
        <v>16</v>
      </c>
      <c r="I6" s="3">
        <f t="shared" si="1"/>
        <v>2.8849999999999998</v>
      </c>
      <c r="J6" t="s">
        <v>343</v>
      </c>
    </row>
    <row r="7" spans="1:10">
      <c r="A7" t="s">
        <v>184</v>
      </c>
      <c r="B7" t="s">
        <v>189</v>
      </c>
      <c r="C7">
        <v>2023</v>
      </c>
      <c r="D7" s="31">
        <f>23.08*2</f>
        <v>46.16</v>
      </c>
      <c r="E7" s="22">
        <v>1</v>
      </c>
      <c r="F7" s="3">
        <f t="shared" si="0"/>
        <v>46.16</v>
      </c>
      <c r="G7" t="s">
        <v>191</v>
      </c>
      <c r="H7" s="23">
        <v>16</v>
      </c>
      <c r="I7" s="3">
        <f t="shared" si="1"/>
        <v>2.8849999999999998</v>
      </c>
    </row>
    <row r="8" spans="1:10">
      <c r="A8" t="s">
        <v>184</v>
      </c>
      <c r="B8" t="s">
        <v>189</v>
      </c>
      <c r="C8">
        <v>2024</v>
      </c>
      <c r="D8" s="31">
        <v>38.4</v>
      </c>
      <c r="E8" s="22">
        <v>1</v>
      </c>
      <c r="F8" s="3">
        <f t="shared" si="0"/>
        <v>38.4</v>
      </c>
      <c r="G8" t="s">
        <v>192</v>
      </c>
      <c r="H8" s="23">
        <v>16</v>
      </c>
      <c r="I8" s="3">
        <f t="shared" si="1"/>
        <v>2.4</v>
      </c>
    </row>
    <row r="9" spans="1:10">
      <c r="A9" t="s">
        <v>173</v>
      </c>
      <c r="B9" t="s">
        <v>189</v>
      </c>
      <c r="C9">
        <v>2022</v>
      </c>
      <c r="D9" s="31">
        <v>13.43</v>
      </c>
      <c r="E9" s="22">
        <v>1</v>
      </c>
      <c r="F9" s="3">
        <f t="shared" si="0"/>
        <v>13.43</v>
      </c>
      <c r="G9" t="s">
        <v>182</v>
      </c>
      <c r="H9" s="23">
        <v>8</v>
      </c>
      <c r="I9" s="3">
        <f t="shared" si="1"/>
        <v>1.67875</v>
      </c>
      <c r="J9" t="s">
        <v>347</v>
      </c>
    </row>
    <row r="10" spans="1:10">
      <c r="A10" t="s">
        <v>173</v>
      </c>
      <c r="B10" t="s">
        <v>189</v>
      </c>
      <c r="C10">
        <v>2023</v>
      </c>
      <c r="D10" s="31">
        <v>13.43</v>
      </c>
      <c r="E10" s="22">
        <v>1</v>
      </c>
      <c r="F10" s="3">
        <f t="shared" si="0"/>
        <v>13.43</v>
      </c>
      <c r="G10" t="s">
        <v>193</v>
      </c>
      <c r="H10" s="23">
        <v>8</v>
      </c>
      <c r="I10" s="3">
        <f t="shared" si="1"/>
        <v>1.67875</v>
      </c>
      <c r="J10" t="s">
        <v>347</v>
      </c>
    </row>
    <row r="11" spans="1:10">
      <c r="A11" t="s">
        <v>173</v>
      </c>
      <c r="B11" t="s">
        <v>189</v>
      </c>
      <c r="C11">
        <v>2024</v>
      </c>
      <c r="D11" s="31">
        <v>13.43</v>
      </c>
      <c r="E11" s="22">
        <v>1</v>
      </c>
      <c r="F11" s="3">
        <f t="shared" si="0"/>
        <v>13.43</v>
      </c>
      <c r="G11" t="s">
        <v>194</v>
      </c>
      <c r="H11" s="23">
        <v>8</v>
      </c>
      <c r="I11" s="3">
        <f t="shared" si="1"/>
        <v>1.67875</v>
      </c>
      <c r="J11" t="s">
        <v>347</v>
      </c>
    </row>
    <row r="12" spans="1:10">
      <c r="A12" t="s">
        <v>172</v>
      </c>
      <c r="B12" t="s">
        <v>174</v>
      </c>
      <c r="C12">
        <v>2022</v>
      </c>
      <c r="D12" s="3">
        <v>243</v>
      </c>
      <c r="E12" s="22">
        <v>1</v>
      </c>
      <c r="F12" s="3">
        <f t="shared" si="0"/>
        <v>243</v>
      </c>
      <c r="G12" t="s">
        <v>176</v>
      </c>
      <c r="H12" s="23">
        <v>12</v>
      </c>
      <c r="I12" s="3">
        <f t="shared" si="1"/>
        <v>20.25</v>
      </c>
      <c r="J12" t="s">
        <v>342</v>
      </c>
    </row>
    <row r="13" spans="1:10">
      <c r="A13" t="s">
        <v>172</v>
      </c>
      <c r="B13" t="s">
        <v>174</v>
      </c>
      <c r="C13">
        <v>2023</v>
      </c>
      <c r="D13" s="3">
        <v>354</v>
      </c>
      <c r="E13" s="22">
        <v>1</v>
      </c>
      <c r="F13" s="3">
        <f t="shared" si="0"/>
        <v>354</v>
      </c>
      <c r="G13" t="s">
        <v>176</v>
      </c>
      <c r="H13" s="23">
        <v>12</v>
      </c>
      <c r="I13" s="3">
        <f t="shared" si="1"/>
        <v>29.5</v>
      </c>
      <c r="J13" t="s">
        <v>342</v>
      </c>
    </row>
    <row r="14" spans="1:10">
      <c r="A14" t="s">
        <v>172</v>
      </c>
      <c r="B14" t="s">
        <v>174</v>
      </c>
      <c r="C14">
        <v>2024</v>
      </c>
      <c r="D14" s="3">
        <v>309</v>
      </c>
      <c r="E14" s="22">
        <v>1</v>
      </c>
      <c r="F14" s="3">
        <f t="shared" si="0"/>
        <v>309</v>
      </c>
      <c r="G14" t="s">
        <v>176</v>
      </c>
      <c r="H14" s="23">
        <v>12</v>
      </c>
      <c r="I14" s="3">
        <f t="shared" si="1"/>
        <v>25.75</v>
      </c>
      <c r="J14" t="s">
        <v>342</v>
      </c>
    </row>
    <row r="15" spans="1:10">
      <c r="A15" t="s">
        <v>221</v>
      </c>
      <c r="B15" t="s">
        <v>189</v>
      </c>
      <c r="C15">
        <v>2024</v>
      </c>
      <c r="D15" s="24">
        <v>120</v>
      </c>
      <c r="E15" s="21">
        <v>1</v>
      </c>
      <c r="F15" s="3">
        <f t="shared" si="0"/>
        <v>120</v>
      </c>
      <c r="G15" t="s">
        <v>183</v>
      </c>
      <c r="H15" s="23">
        <v>20</v>
      </c>
      <c r="I15" s="3">
        <f>F15/H15/3</f>
        <v>2</v>
      </c>
      <c r="J15" t="s">
        <v>275</v>
      </c>
    </row>
    <row r="16" spans="1:10">
      <c r="A16" t="s">
        <v>240</v>
      </c>
      <c r="B16" t="s">
        <v>241</v>
      </c>
      <c r="C16" s="60" t="s">
        <v>242</v>
      </c>
      <c r="D16" s="24">
        <v>60</v>
      </c>
      <c r="E16" s="21">
        <v>1</v>
      </c>
      <c r="F16" s="3">
        <f t="shared" si="0"/>
        <v>60</v>
      </c>
      <c r="G16" t="s">
        <v>183</v>
      </c>
      <c r="H16" s="23">
        <v>20</v>
      </c>
      <c r="I16" s="3">
        <f>F16/H16/3</f>
        <v>1</v>
      </c>
      <c r="J16" t="s">
        <v>243</v>
      </c>
    </row>
    <row r="17" spans="4:4">
      <c r="D17" s="4"/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D8FC-54BC-4653-875C-29BA5A1F7E28}">
  <dimension ref="A1:N38"/>
  <sheetViews>
    <sheetView workbookViewId="0">
      <selection activeCell="J37" sqref="J37"/>
    </sheetView>
  </sheetViews>
  <sheetFormatPr defaultRowHeight="15"/>
  <cols>
    <col min="1" max="1" width="39.42578125" bestFit="1" customWidth="1"/>
    <col min="3" max="3" width="10.7109375" bestFit="1" customWidth="1"/>
    <col min="4" max="4" width="14" customWidth="1"/>
    <col min="5" max="5" width="15.85546875" bestFit="1" customWidth="1"/>
    <col min="6" max="6" width="15.85546875" customWidth="1"/>
    <col min="7" max="7" width="16.42578125" bestFit="1" customWidth="1"/>
    <col min="8" max="8" width="11.28515625" bestFit="1" customWidth="1"/>
    <col min="9" max="9" width="21.7109375" bestFit="1" customWidth="1"/>
    <col min="10" max="10" width="53.5703125" bestFit="1" customWidth="1"/>
    <col min="12" max="12" width="5" bestFit="1" customWidth="1"/>
    <col min="13" max="13" width="23.7109375" bestFit="1" customWidth="1"/>
    <col min="14" max="14" width="25.28515625" bestFit="1" customWidth="1"/>
  </cols>
  <sheetData>
    <row r="1" spans="1:14">
      <c r="A1" s="5" t="s">
        <v>256</v>
      </c>
      <c r="B1" s="5"/>
      <c r="C1" s="5"/>
      <c r="D1" s="5"/>
      <c r="E1" s="5"/>
      <c r="F1" s="5"/>
      <c r="G1" s="5"/>
      <c r="H1" s="5"/>
      <c r="I1" s="5"/>
      <c r="J1" s="5"/>
      <c r="L1" s="26" t="s">
        <v>1</v>
      </c>
      <c r="M1" s="26" t="s">
        <v>195</v>
      </c>
      <c r="N1" s="26" t="s">
        <v>196</v>
      </c>
    </row>
    <row r="2" spans="1:14">
      <c r="A2" s="5" t="s">
        <v>177</v>
      </c>
      <c r="B2" s="5" t="s">
        <v>1</v>
      </c>
      <c r="C2" s="5" t="s">
        <v>254</v>
      </c>
      <c r="D2" s="5" t="s">
        <v>252</v>
      </c>
      <c r="E2" s="5" t="s">
        <v>245</v>
      </c>
      <c r="F2" s="5" t="s">
        <v>257</v>
      </c>
      <c r="G2" s="5" t="s">
        <v>181</v>
      </c>
      <c r="H2" s="5" t="s">
        <v>190</v>
      </c>
      <c r="I2" s="5" t="s">
        <v>253</v>
      </c>
      <c r="J2" s="5" t="s">
        <v>244</v>
      </c>
      <c r="L2">
        <v>2022</v>
      </c>
      <c r="M2" s="3">
        <v>15.65</v>
      </c>
      <c r="N2" s="4">
        <f>M2/60</f>
        <v>0.26083333333333336</v>
      </c>
    </row>
    <row r="3" spans="1:14">
      <c r="A3" t="s">
        <v>246</v>
      </c>
      <c r="B3">
        <v>2022</v>
      </c>
      <c r="C3" s="24">
        <v>23</v>
      </c>
      <c r="D3" s="3">
        <f t="shared" ref="D3:D6" si="0">C3/60</f>
        <v>0.38333333333333336</v>
      </c>
      <c r="E3">
        <v>65</v>
      </c>
      <c r="F3" s="4">
        <f>E3*D3</f>
        <v>24.916666666666668</v>
      </c>
      <c r="G3" t="s">
        <v>183</v>
      </c>
      <c r="H3">
        <v>20</v>
      </c>
      <c r="I3" s="3">
        <f>F3/H3</f>
        <v>1.2458333333333333</v>
      </c>
      <c r="J3" t="s">
        <v>276</v>
      </c>
      <c r="L3">
        <v>2023</v>
      </c>
      <c r="M3" s="3">
        <v>16.75</v>
      </c>
      <c r="N3" s="3">
        <f>M3/60</f>
        <v>0.27916666666666667</v>
      </c>
    </row>
    <row r="4" spans="1:14">
      <c r="A4" t="s">
        <v>247</v>
      </c>
      <c r="B4">
        <v>2023</v>
      </c>
      <c r="C4" s="24">
        <v>25</v>
      </c>
      <c r="D4" s="3">
        <f t="shared" si="0"/>
        <v>0.41666666666666669</v>
      </c>
      <c r="E4">
        <v>43.5</v>
      </c>
      <c r="F4" s="4">
        <f t="shared" ref="F4:F11" si="1">E4*D4</f>
        <v>18.125</v>
      </c>
      <c r="G4" t="s">
        <v>194</v>
      </c>
      <c r="H4">
        <v>16</v>
      </c>
      <c r="I4" s="3">
        <f>F4/H4</f>
        <v>1.1328125</v>
      </c>
      <c r="J4" t="s">
        <v>277</v>
      </c>
      <c r="L4">
        <v>2024</v>
      </c>
      <c r="M4" s="3">
        <v>17.399999999999999</v>
      </c>
      <c r="N4" s="3">
        <f>M4/60</f>
        <v>0.28999999999999998</v>
      </c>
    </row>
    <row r="5" spans="1:14">
      <c r="A5" t="s">
        <v>246</v>
      </c>
      <c r="B5">
        <v>2023</v>
      </c>
      <c r="C5" s="24">
        <v>25</v>
      </c>
      <c r="D5" s="3">
        <f t="shared" si="0"/>
        <v>0.41666666666666669</v>
      </c>
      <c r="E5">
        <f>77.25+44.5</f>
        <v>121.75</v>
      </c>
      <c r="F5" s="4">
        <f t="shared" si="1"/>
        <v>50.729166666666671</v>
      </c>
      <c r="G5" t="s">
        <v>194</v>
      </c>
      <c r="H5">
        <v>16</v>
      </c>
      <c r="I5" s="3">
        <f t="shared" ref="I5:I6" si="2">F5/H5</f>
        <v>3.170572916666667</v>
      </c>
      <c r="J5" t="s">
        <v>278</v>
      </c>
    </row>
    <row r="6" spans="1:14">
      <c r="A6" t="s">
        <v>248</v>
      </c>
      <c r="B6">
        <v>2023</v>
      </c>
      <c r="C6" s="24">
        <v>25</v>
      </c>
      <c r="D6" s="3">
        <f t="shared" si="0"/>
        <v>0.41666666666666669</v>
      </c>
      <c r="E6">
        <v>60</v>
      </c>
      <c r="F6" s="4">
        <f t="shared" si="1"/>
        <v>25</v>
      </c>
      <c r="G6" t="s">
        <v>194</v>
      </c>
      <c r="H6">
        <v>16</v>
      </c>
      <c r="I6" s="3">
        <f t="shared" si="2"/>
        <v>1.5625</v>
      </c>
      <c r="J6" t="s">
        <v>279</v>
      </c>
    </row>
    <row r="7" spans="1:14">
      <c r="A7" t="s">
        <v>247</v>
      </c>
      <c r="B7">
        <v>2024</v>
      </c>
      <c r="C7" s="24">
        <v>27</v>
      </c>
      <c r="D7" s="3">
        <f>C7/60</f>
        <v>0.45</v>
      </c>
      <c r="E7">
        <v>43.5</v>
      </c>
      <c r="F7" s="4">
        <f t="shared" si="1"/>
        <v>19.574999999999999</v>
      </c>
      <c r="G7" t="s">
        <v>194</v>
      </c>
      <c r="H7">
        <v>16</v>
      </c>
      <c r="I7" s="3">
        <f>F7/H7</f>
        <v>1.2234375</v>
      </c>
      <c r="J7" t="s">
        <v>280</v>
      </c>
    </row>
    <row r="8" spans="1:14">
      <c r="A8" t="s">
        <v>246</v>
      </c>
      <c r="B8">
        <v>2024</v>
      </c>
      <c r="C8" s="24">
        <v>27</v>
      </c>
      <c r="D8" s="3">
        <f t="shared" ref="D8:D12" si="3">C8/60</f>
        <v>0.45</v>
      </c>
      <c r="E8">
        <f>77.25+44.5</f>
        <v>121.75</v>
      </c>
      <c r="F8" s="4">
        <f t="shared" si="1"/>
        <v>54.787500000000001</v>
      </c>
      <c r="G8" t="s">
        <v>194</v>
      </c>
      <c r="H8">
        <v>16</v>
      </c>
      <c r="I8" s="3">
        <f>F8/H8</f>
        <v>3.4242187500000001</v>
      </c>
    </row>
    <row r="9" spans="1:14">
      <c r="A9" t="s">
        <v>248</v>
      </c>
      <c r="B9">
        <v>2024</v>
      </c>
      <c r="C9" s="24">
        <v>27</v>
      </c>
      <c r="D9" s="3">
        <f t="shared" si="3"/>
        <v>0.45</v>
      </c>
      <c r="E9">
        <v>60</v>
      </c>
      <c r="F9" s="4">
        <f t="shared" si="1"/>
        <v>27</v>
      </c>
      <c r="G9" t="s">
        <v>194</v>
      </c>
      <c r="H9">
        <v>16</v>
      </c>
      <c r="I9" s="3">
        <f>F9/H9</f>
        <v>1.6875</v>
      </c>
      <c r="J9" t="s">
        <v>281</v>
      </c>
    </row>
    <row r="10" spans="1:14">
      <c r="A10" s="5" t="s">
        <v>251</v>
      </c>
      <c r="B10" s="5">
        <v>2022</v>
      </c>
      <c r="C10" s="19">
        <v>23</v>
      </c>
      <c r="D10" s="19">
        <f t="shared" si="3"/>
        <v>0.38333333333333336</v>
      </c>
      <c r="E10" s="5">
        <f>E3</f>
        <v>65</v>
      </c>
      <c r="F10" s="7">
        <f>E10*D10</f>
        <v>24.916666666666668</v>
      </c>
      <c r="G10" s="5" t="str">
        <f t="shared" ref="G10:H10" si="4">G3</f>
        <v>All</v>
      </c>
      <c r="H10" s="5">
        <f t="shared" si="4"/>
        <v>20</v>
      </c>
      <c r="I10" s="19">
        <f>I3</f>
        <v>1.2458333333333333</v>
      </c>
      <c r="J10" s="2"/>
    </row>
    <row r="11" spans="1:14">
      <c r="A11" s="5" t="s">
        <v>249</v>
      </c>
      <c r="B11" s="5">
        <v>2023</v>
      </c>
      <c r="C11" s="19">
        <v>25</v>
      </c>
      <c r="D11" s="19">
        <f t="shared" si="3"/>
        <v>0.41666666666666669</v>
      </c>
      <c r="E11" s="5">
        <f>SUM(E4:E6)</f>
        <v>225.25</v>
      </c>
      <c r="F11" s="7">
        <f t="shared" si="1"/>
        <v>93.854166666666671</v>
      </c>
      <c r="G11" s="5" t="s">
        <v>194</v>
      </c>
      <c r="H11" s="5">
        <v>16</v>
      </c>
      <c r="I11" s="19">
        <f>SUM(I4:I6)</f>
        <v>5.865885416666667</v>
      </c>
      <c r="J11" s="2"/>
    </row>
    <row r="12" spans="1:14">
      <c r="A12" s="5" t="s">
        <v>250</v>
      </c>
      <c r="B12" s="5">
        <v>2024</v>
      </c>
      <c r="C12" s="19">
        <v>27</v>
      </c>
      <c r="D12" s="19">
        <f t="shared" si="3"/>
        <v>0.45</v>
      </c>
      <c r="E12" s="5">
        <f>SUM(E7:E9)</f>
        <v>225.25</v>
      </c>
      <c r="F12" s="7">
        <f>E12*D12</f>
        <v>101.3625</v>
      </c>
      <c r="G12" s="5" t="s">
        <v>194</v>
      </c>
      <c r="H12" s="5">
        <v>16</v>
      </c>
      <c r="I12" s="19">
        <f>SUM(I7:I9)</f>
        <v>6.3351562499999998</v>
      </c>
      <c r="J12" s="2"/>
    </row>
    <row r="13" spans="1:14">
      <c r="A13" s="2"/>
      <c r="B13" s="2"/>
      <c r="C13" s="55"/>
      <c r="D13" s="3"/>
      <c r="E13" s="2"/>
      <c r="F13" s="4"/>
      <c r="G13" s="2"/>
      <c r="H13" s="2"/>
      <c r="I13" s="29"/>
      <c r="J13" s="2"/>
      <c r="M13">
        <f>16.75/15.65</f>
        <v>1.0702875399361023</v>
      </c>
    </row>
    <row r="14" spans="1:14">
      <c r="A14" s="5" t="s">
        <v>255</v>
      </c>
      <c r="B14" s="5"/>
      <c r="C14" s="5"/>
      <c r="D14" s="5"/>
      <c r="E14" s="5"/>
      <c r="F14" s="5"/>
      <c r="G14" s="5"/>
      <c r="H14" s="5"/>
      <c r="I14" s="5"/>
      <c r="J14" s="5"/>
      <c r="M14">
        <f>17.4/16.75</f>
        <v>1.0388059701492536</v>
      </c>
    </row>
    <row r="15" spans="1:14">
      <c r="A15" s="5" t="s">
        <v>177</v>
      </c>
      <c r="B15" s="5" t="s">
        <v>1</v>
      </c>
      <c r="C15" s="5" t="s">
        <v>254</v>
      </c>
      <c r="D15" s="5" t="s">
        <v>252</v>
      </c>
      <c r="E15" s="5" t="s">
        <v>245</v>
      </c>
      <c r="F15" s="5" t="s">
        <v>257</v>
      </c>
      <c r="G15" s="5" t="s">
        <v>181</v>
      </c>
      <c r="H15" s="5" t="s">
        <v>190</v>
      </c>
      <c r="I15" s="5" t="s">
        <v>253</v>
      </c>
      <c r="J15" s="5" t="s">
        <v>244</v>
      </c>
    </row>
    <row r="16" spans="1:14">
      <c r="A16" t="s">
        <v>258</v>
      </c>
      <c r="B16">
        <v>2022</v>
      </c>
      <c r="C16" s="31">
        <f>$M$2</f>
        <v>15.65</v>
      </c>
      <c r="D16" s="3">
        <f t="shared" ref="D16:D19" si="5">C16/60</f>
        <v>0.26083333333333336</v>
      </c>
      <c r="E16">
        <f>E10</f>
        <v>65</v>
      </c>
      <c r="F16" s="4">
        <f>D16*E16</f>
        <v>16.954166666666669</v>
      </c>
      <c r="G16" t="s">
        <v>183</v>
      </c>
      <c r="H16">
        <v>20</v>
      </c>
      <c r="I16" s="3">
        <f>F16/H16</f>
        <v>0.84770833333333351</v>
      </c>
    </row>
    <row r="17" spans="1:10">
      <c r="A17" t="s">
        <v>259</v>
      </c>
      <c r="B17">
        <v>2022</v>
      </c>
      <c r="C17" s="31">
        <f>$M$2</f>
        <v>15.65</v>
      </c>
      <c r="D17" s="3">
        <f t="shared" si="5"/>
        <v>0.26083333333333336</v>
      </c>
      <c r="E17">
        <f>8*60</f>
        <v>480</v>
      </c>
      <c r="F17" s="4">
        <f>D17*E17</f>
        <v>125.20000000000002</v>
      </c>
      <c r="G17" t="s">
        <v>183</v>
      </c>
      <c r="H17">
        <v>20</v>
      </c>
      <c r="I17" s="3">
        <f>F17/H17</f>
        <v>6.2600000000000007</v>
      </c>
    </row>
    <row r="18" spans="1:10">
      <c r="A18" s="13" t="s">
        <v>260</v>
      </c>
      <c r="B18" s="13">
        <v>2022</v>
      </c>
      <c r="C18" s="56">
        <f>$M$2</f>
        <v>15.65</v>
      </c>
      <c r="D18" s="27">
        <f t="shared" si="5"/>
        <v>0.26083333333333336</v>
      </c>
      <c r="E18" s="13">
        <v>60</v>
      </c>
      <c r="F18" s="28">
        <f>D18*E18</f>
        <v>15.650000000000002</v>
      </c>
      <c r="G18" s="13" t="s">
        <v>176</v>
      </c>
      <c r="H18" s="13">
        <v>12</v>
      </c>
      <c r="I18" s="27">
        <f t="shared" ref="I18:I27" si="6">F18/H18</f>
        <v>1.3041666666666669</v>
      </c>
      <c r="J18" s="13"/>
    </row>
    <row r="19" spans="1:10">
      <c r="A19" t="s">
        <v>258</v>
      </c>
      <c r="B19">
        <v>2023</v>
      </c>
      <c r="C19" s="31">
        <f>$M$3</f>
        <v>16.75</v>
      </c>
      <c r="D19" s="3">
        <f t="shared" si="5"/>
        <v>0.27916666666666667</v>
      </c>
      <c r="E19">
        <f>E11</f>
        <v>225.25</v>
      </c>
      <c r="F19" s="4">
        <f t="shared" ref="F19:F38" si="7">D19*E19</f>
        <v>62.882291666666667</v>
      </c>
      <c r="G19" t="s">
        <v>194</v>
      </c>
      <c r="H19">
        <v>16</v>
      </c>
      <c r="I19" s="3">
        <f t="shared" si="6"/>
        <v>3.9301432291666667</v>
      </c>
      <c r="J19" t="s">
        <v>272</v>
      </c>
    </row>
    <row r="20" spans="1:10">
      <c r="A20" t="s">
        <v>259</v>
      </c>
      <c r="B20">
        <v>2023</v>
      </c>
      <c r="C20" s="31">
        <f>$M$3</f>
        <v>16.75</v>
      </c>
      <c r="D20" s="3">
        <f>C20/60</f>
        <v>0.27916666666666667</v>
      </c>
      <c r="E20">
        <v>72.25</v>
      </c>
      <c r="F20" s="4">
        <f t="shared" si="7"/>
        <v>20.169791666666669</v>
      </c>
      <c r="G20" t="s">
        <v>194</v>
      </c>
      <c r="H20">
        <v>16</v>
      </c>
      <c r="I20" s="3">
        <f t="shared" si="6"/>
        <v>1.2606119791666668</v>
      </c>
      <c r="J20" t="s">
        <v>272</v>
      </c>
    </row>
    <row r="21" spans="1:10">
      <c r="A21" t="s">
        <v>260</v>
      </c>
      <c r="B21">
        <v>2023</v>
      </c>
      <c r="C21" s="31">
        <f t="shared" ref="C21:C22" si="8">$M$3</f>
        <v>16.75</v>
      </c>
      <c r="D21" s="3">
        <f t="shared" ref="D21:D38" si="9">C21/60</f>
        <v>0.27916666666666667</v>
      </c>
      <c r="E21">
        <v>60</v>
      </c>
      <c r="F21" s="4">
        <f t="shared" si="7"/>
        <v>16.75</v>
      </c>
      <c r="G21" t="s">
        <v>176</v>
      </c>
      <c r="H21">
        <v>12</v>
      </c>
      <c r="I21" s="3">
        <f t="shared" si="6"/>
        <v>1.3958333333333333</v>
      </c>
      <c r="J21" t="s">
        <v>272</v>
      </c>
    </row>
    <row r="22" spans="1:10">
      <c r="A22" t="s">
        <v>282</v>
      </c>
      <c r="B22">
        <v>2023</v>
      </c>
      <c r="C22" s="31">
        <f t="shared" si="8"/>
        <v>16.75</v>
      </c>
      <c r="D22" s="3">
        <f t="shared" si="9"/>
        <v>0.27916666666666667</v>
      </c>
      <c r="E22">
        <v>30</v>
      </c>
      <c r="F22" s="4">
        <f t="shared" si="7"/>
        <v>8.375</v>
      </c>
      <c r="G22" t="s">
        <v>283</v>
      </c>
      <c r="H22">
        <v>8</v>
      </c>
      <c r="I22" s="3">
        <f t="shared" si="6"/>
        <v>1.046875</v>
      </c>
    </row>
    <row r="23" spans="1:10">
      <c r="A23" s="13" t="s">
        <v>263</v>
      </c>
      <c r="B23" s="13">
        <v>2023</v>
      </c>
      <c r="C23" s="56">
        <f>$M$3</f>
        <v>16.75</v>
      </c>
      <c r="D23" s="27">
        <f t="shared" si="9"/>
        <v>0.27916666666666667</v>
      </c>
      <c r="E23" s="13">
        <v>158.75</v>
      </c>
      <c r="F23" s="28">
        <f t="shared" si="7"/>
        <v>44.317708333333336</v>
      </c>
      <c r="G23" s="13" t="s">
        <v>264</v>
      </c>
      <c r="H23" s="13">
        <v>4</v>
      </c>
      <c r="I23" s="27">
        <f t="shared" si="6"/>
        <v>11.079427083333334</v>
      </c>
      <c r="J23" s="13" t="s">
        <v>272</v>
      </c>
    </row>
    <row r="24" spans="1:10">
      <c r="A24" t="s">
        <v>258</v>
      </c>
      <c r="B24">
        <v>2024</v>
      </c>
      <c r="C24" s="31">
        <f>$M$4</f>
        <v>17.399999999999999</v>
      </c>
      <c r="D24" s="3">
        <f>C24/60</f>
        <v>0.28999999999999998</v>
      </c>
      <c r="E24">
        <f>E12</f>
        <v>225.25</v>
      </c>
      <c r="F24" s="4">
        <f>D24*E24</f>
        <v>65.322499999999991</v>
      </c>
      <c r="G24" t="s">
        <v>194</v>
      </c>
      <c r="H24">
        <v>16</v>
      </c>
      <c r="I24" s="3">
        <f>F24/H24</f>
        <v>4.0826562499999994</v>
      </c>
    </row>
    <row r="25" spans="1:10">
      <c r="A25" t="s">
        <v>259</v>
      </c>
      <c r="B25">
        <v>2024</v>
      </c>
      <c r="C25" s="31">
        <f t="shared" ref="C25:C28" si="10">$M$4</f>
        <v>17.399999999999999</v>
      </c>
      <c r="D25" s="3">
        <f t="shared" si="9"/>
        <v>0.28999999999999998</v>
      </c>
      <c r="E25">
        <f>28+24.25+20</f>
        <v>72.25</v>
      </c>
      <c r="F25" s="4">
        <f t="shared" si="7"/>
        <v>20.952499999999997</v>
      </c>
      <c r="G25" t="s">
        <v>194</v>
      </c>
      <c r="H25">
        <v>16</v>
      </c>
      <c r="I25" s="3">
        <f t="shared" si="6"/>
        <v>1.3095312499999998</v>
      </c>
    </row>
    <row r="26" spans="1:10">
      <c r="A26" t="s">
        <v>260</v>
      </c>
      <c r="B26">
        <v>2024</v>
      </c>
      <c r="C26" s="31">
        <f t="shared" si="10"/>
        <v>17.399999999999999</v>
      </c>
      <c r="D26" s="3">
        <f t="shared" si="9"/>
        <v>0.28999999999999998</v>
      </c>
      <c r="E26">
        <v>95</v>
      </c>
      <c r="F26" s="4">
        <f t="shared" si="7"/>
        <v>27.549999999999997</v>
      </c>
      <c r="G26" t="s">
        <v>176</v>
      </c>
      <c r="H26">
        <v>12</v>
      </c>
      <c r="I26" s="3">
        <f t="shared" si="6"/>
        <v>2.2958333333333329</v>
      </c>
    </row>
    <row r="27" spans="1:10">
      <c r="A27" t="s">
        <v>282</v>
      </c>
      <c r="B27">
        <v>2024</v>
      </c>
      <c r="C27" s="31">
        <f t="shared" si="10"/>
        <v>17.399999999999999</v>
      </c>
      <c r="D27" s="3">
        <f t="shared" ref="D27" si="11">C27/60</f>
        <v>0.28999999999999998</v>
      </c>
      <c r="E27">
        <v>30</v>
      </c>
      <c r="F27" s="4">
        <f t="shared" si="7"/>
        <v>8.6999999999999993</v>
      </c>
      <c r="G27" t="s">
        <v>283</v>
      </c>
      <c r="H27">
        <v>8</v>
      </c>
      <c r="I27" s="3">
        <f t="shared" si="6"/>
        <v>1.0874999999999999</v>
      </c>
    </row>
    <row r="28" spans="1:10">
      <c r="A28" s="13" t="s">
        <v>263</v>
      </c>
      <c r="B28" s="13">
        <v>2024</v>
      </c>
      <c r="C28" s="56">
        <f t="shared" si="10"/>
        <v>17.399999999999999</v>
      </c>
      <c r="D28" s="27">
        <f t="shared" si="9"/>
        <v>0.28999999999999998</v>
      </c>
      <c r="E28" s="13">
        <v>158.75</v>
      </c>
      <c r="F28" s="28">
        <f t="shared" si="7"/>
        <v>46.037499999999994</v>
      </c>
      <c r="G28" s="13" t="s">
        <v>264</v>
      </c>
      <c r="H28" s="13">
        <v>4</v>
      </c>
      <c r="I28" s="27">
        <f>F28/H28</f>
        <v>11.509374999999999</v>
      </c>
      <c r="J28" s="13"/>
    </row>
    <row r="29" spans="1:10">
      <c r="A29" s="5" t="s">
        <v>262</v>
      </c>
      <c r="B29" s="5">
        <v>2022</v>
      </c>
      <c r="C29" s="19">
        <f>$M$2</f>
        <v>15.65</v>
      </c>
      <c r="D29" s="19">
        <f t="shared" si="9"/>
        <v>0.26083333333333336</v>
      </c>
      <c r="E29" s="5">
        <f>SUM(E16:E17)</f>
        <v>545</v>
      </c>
      <c r="F29" s="7">
        <f t="shared" si="7"/>
        <v>142.15416666666667</v>
      </c>
      <c r="G29" s="5" t="s">
        <v>182</v>
      </c>
      <c r="H29" s="5"/>
      <c r="I29" s="19">
        <f>SUM(I16:I17)</f>
        <v>7.107708333333334</v>
      </c>
      <c r="J29" s="2"/>
    </row>
    <row r="30" spans="1:10">
      <c r="A30" s="39" t="s">
        <v>261</v>
      </c>
      <c r="B30" s="39">
        <v>2022</v>
      </c>
      <c r="C30" s="57">
        <f>$M$2</f>
        <v>15.65</v>
      </c>
      <c r="D30" s="57">
        <f t="shared" si="9"/>
        <v>0.26083333333333336</v>
      </c>
      <c r="E30" s="39">
        <f>SUM(E16:E18)</f>
        <v>605</v>
      </c>
      <c r="F30" s="40">
        <f t="shared" si="7"/>
        <v>157.80416666666667</v>
      </c>
      <c r="G30" s="39" t="s">
        <v>176</v>
      </c>
      <c r="H30" s="39"/>
      <c r="I30" s="57">
        <f>SUM(I16:I18)</f>
        <v>8.4118750000000002</v>
      </c>
      <c r="J30" s="58"/>
    </row>
    <row r="31" spans="1:10">
      <c r="A31" s="5" t="s">
        <v>265</v>
      </c>
      <c r="B31" s="5">
        <v>2023</v>
      </c>
      <c r="C31" s="19">
        <f>$M$3</f>
        <v>16.75</v>
      </c>
      <c r="D31" s="19">
        <f t="shared" si="9"/>
        <v>0.27916666666666667</v>
      </c>
      <c r="E31" s="5">
        <f>SUM(E20,E19)</f>
        <v>297.5</v>
      </c>
      <c r="F31" s="7">
        <f t="shared" si="7"/>
        <v>83.052083333333329</v>
      </c>
      <c r="G31" s="5" t="s">
        <v>182</v>
      </c>
      <c r="H31" s="5"/>
      <c r="I31" s="19">
        <f>SUM(I19,I20)</f>
        <v>5.1907552083333339</v>
      </c>
      <c r="J31" s="2"/>
    </row>
    <row r="32" spans="1:10">
      <c r="A32" s="5" t="s">
        <v>289</v>
      </c>
      <c r="B32" s="5">
        <v>2023</v>
      </c>
      <c r="C32" s="19">
        <f>$M$3</f>
        <v>16.75</v>
      </c>
      <c r="D32" s="19">
        <f t="shared" si="9"/>
        <v>0.27916666666666667</v>
      </c>
      <c r="E32" s="5">
        <f>SUM(E19:E21)</f>
        <v>357.5</v>
      </c>
      <c r="F32" s="7">
        <f t="shared" si="7"/>
        <v>99.802083333333343</v>
      </c>
      <c r="G32" s="5" t="s">
        <v>284</v>
      </c>
      <c r="H32" s="5"/>
      <c r="I32" s="19">
        <f>SUM(I19:I21)</f>
        <v>6.586588541666667</v>
      </c>
      <c r="J32" s="2"/>
    </row>
    <row r="33" spans="1:10">
      <c r="A33" s="5" t="s">
        <v>286</v>
      </c>
      <c r="B33" s="5">
        <v>2023</v>
      </c>
      <c r="C33" s="19">
        <f>$M$3</f>
        <v>16.75</v>
      </c>
      <c r="D33" s="19">
        <f t="shared" si="9"/>
        <v>0.27916666666666667</v>
      </c>
      <c r="E33" s="5">
        <f>SUM(E19:E22)</f>
        <v>387.5</v>
      </c>
      <c r="F33" s="7">
        <f>SUM(F19:F22)</f>
        <v>108.17708333333334</v>
      </c>
      <c r="G33" s="5" t="s">
        <v>285</v>
      </c>
      <c r="H33" s="5"/>
      <c r="I33" s="19">
        <f>SUM(I19:I22)</f>
        <v>7.633463541666667</v>
      </c>
      <c r="J33" s="2"/>
    </row>
    <row r="34" spans="1:10">
      <c r="A34" s="39" t="s">
        <v>266</v>
      </c>
      <c r="B34" s="39">
        <v>2023</v>
      </c>
      <c r="C34" s="40">
        <f>$M$3</f>
        <v>16.75</v>
      </c>
      <c r="D34" s="57">
        <f t="shared" si="9"/>
        <v>0.27916666666666667</v>
      </c>
      <c r="E34" s="39">
        <f>SUM(E22:E23)</f>
        <v>188.75</v>
      </c>
      <c r="F34" s="40">
        <f t="shared" si="7"/>
        <v>52.692708333333336</v>
      </c>
      <c r="G34" s="39" t="s">
        <v>264</v>
      </c>
      <c r="H34" s="39"/>
      <c r="I34" s="40">
        <f>SUM(I21:I23)</f>
        <v>13.522135416666668</v>
      </c>
      <c r="J34" s="13"/>
    </row>
    <row r="35" spans="1:10">
      <c r="A35" s="5" t="s">
        <v>267</v>
      </c>
      <c r="B35" s="5">
        <v>2024</v>
      </c>
      <c r="C35" s="7">
        <f>$M$4</f>
        <v>17.399999999999999</v>
      </c>
      <c r="D35" s="19">
        <f t="shared" si="9"/>
        <v>0.28999999999999998</v>
      </c>
      <c r="E35" s="5">
        <f>E25+E24</f>
        <v>297.5</v>
      </c>
      <c r="F35" s="7">
        <f>D35*E35</f>
        <v>86.274999999999991</v>
      </c>
      <c r="G35" s="5" t="s">
        <v>182</v>
      </c>
      <c r="H35" s="5"/>
      <c r="I35" s="7">
        <f>SUM(I24:I25)</f>
        <v>5.3921874999999995</v>
      </c>
    </row>
    <row r="36" spans="1:10">
      <c r="A36" s="5" t="s">
        <v>288</v>
      </c>
      <c r="B36" s="5">
        <v>2024</v>
      </c>
      <c r="C36" s="7">
        <f t="shared" ref="C36:C38" si="12">$M$4</f>
        <v>17.399999999999999</v>
      </c>
      <c r="D36" s="19">
        <f t="shared" si="9"/>
        <v>0.28999999999999998</v>
      </c>
      <c r="E36" s="5">
        <f>SUM(E24:E26)</f>
        <v>392.5</v>
      </c>
      <c r="F36" s="7">
        <f t="shared" si="7"/>
        <v>113.82499999999999</v>
      </c>
      <c r="G36" s="5" t="s">
        <v>290</v>
      </c>
      <c r="H36" s="5"/>
      <c r="I36" s="7">
        <f>SUM(I24:I25,I26)</f>
        <v>7.6880208333333329</v>
      </c>
    </row>
    <row r="37" spans="1:10">
      <c r="A37" s="5" t="s">
        <v>287</v>
      </c>
      <c r="B37" s="5">
        <v>2024</v>
      </c>
      <c r="C37" s="7">
        <f t="shared" si="12"/>
        <v>17.399999999999999</v>
      </c>
      <c r="D37" s="19">
        <f t="shared" si="9"/>
        <v>0.28999999999999998</v>
      </c>
      <c r="E37" s="5">
        <f>SUM(E24:E27)</f>
        <v>422.5</v>
      </c>
      <c r="F37" s="7">
        <f>SUM(F24:F27)</f>
        <v>122.52499999999999</v>
      </c>
      <c r="G37" s="5" t="s">
        <v>285</v>
      </c>
      <c r="H37" s="5"/>
      <c r="I37" s="7">
        <f>SUM(I24:I27)</f>
        <v>8.7755208333333332</v>
      </c>
    </row>
    <row r="38" spans="1:10">
      <c r="A38" s="5" t="s">
        <v>268</v>
      </c>
      <c r="B38" s="5">
        <v>2024</v>
      </c>
      <c r="C38" s="7">
        <f t="shared" si="12"/>
        <v>17.399999999999999</v>
      </c>
      <c r="D38" s="19">
        <f t="shared" si="9"/>
        <v>0.28999999999999998</v>
      </c>
      <c r="E38" s="5">
        <f>SUM(E26:E28)</f>
        <v>283.75</v>
      </c>
      <c r="F38" s="7">
        <f t="shared" si="7"/>
        <v>82.287499999999994</v>
      </c>
      <c r="G38" s="5" t="s">
        <v>264</v>
      </c>
      <c r="H38" s="5"/>
      <c r="I38" s="7">
        <f>SUM(I26:I28)</f>
        <v>14.892708333333331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ED0D-C761-4B34-94BB-3F61D0F41DBB}">
  <dimension ref="A1:Z4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45" sqref="R45"/>
    </sheetView>
  </sheetViews>
  <sheetFormatPr defaultRowHeight="15"/>
  <cols>
    <col min="2" max="2" width="39.5703125" bestFit="1" customWidth="1"/>
    <col min="25" max="25" width="23.28515625" bestFit="1" customWidth="1"/>
    <col min="26" max="26" width="24.85546875" bestFit="1" customWidth="1"/>
  </cols>
  <sheetData>
    <row r="1" spans="1:26" ht="71.25">
      <c r="A1" s="17" t="s">
        <v>1</v>
      </c>
      <c r="B1" s="17" t="s">
        <v>15</v>
      </c>
      <c r="C1" s="17" t="s">
        <v>33</v>
      </c>
      <c r="D1" s="17" t="s">
        <v>16</v>
      </c>
      <c r="E1" s="17" t="s">
        <v>17</v>
      </c>
      <c r="F1" s="17" t="s">
        <v>18</v>
      </c>
      <c r="G1" s="17" t="s">
        <v>19</v>
      </c>
      <c r="H1" s="17" t="s">
        <v>20</v>
      </c>
      <c r="I1" s="17" t="s">
        <v>21</v>
      </c>
      <c r="J1" s="17" t="s">
        <v>22</v>
      </c>
      <c r="K1" s="17" t="s">
        <v>23</v>
      </c>
      <c r="L1" s="17" t="s">
        <v>24</v>
      </c>
      <c r="M1" s="17" t="s">
        <v>25</v>
      </c>
      <c r="N1" s="17" t="s">
        <v>26</v>
      </c>
      <c r="O1" s="17" t="s">
        <v>27</v>
      </c>
      <c r="P1" s="17" t="s">
        <v>28</v>
      </c>
      <c r="Q1" s="17" t="s">
        <v>34</v>
      </c>
      <c r="R1" s="17" t="s">
        <v>35</v>
      </c>
      <c r="S1" s="17" t="s">
        <v>29</v>
      </c>
      <c r="T1" s="17" t="s">
        <v>30</v>
      </c>
      <c r="U1" s="17" t="s">
        <v>31</v>
      </c>
      <c r="V1" s="17" t="s">
        <v>32</v>
      </c>
    </row>
    <row r="2" spans="1:26">
      <c r="A2" s="5" t="s">
        <v>211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6">
      <c r="A3">
        <v>2022</v>
      </c>
      <c r="B3" t="s">
        <v>270</v>
      </c>
      <c r="C3">
        <v>0</v>
      </c>
      <c r="D3">
        <v>0</v>
      </c>
      <c r="E3">
        <v>0</v>
      </c>
      <c r="F3">
        <v>0</v>
      </c>
      <c r="G3">
        <f>30/20</f>
        <v>1.5</v>
      </c>
      <c r="H3">
        <f t="shared" ref="H3:V3" si="0">30/20</f>
        <v>1.5</v>
      </c>
      <c r="I3">
        <f t="shared" si="0"/>
        <v>1.5</v>
      </c>
      <c r="J3">
        <f t="shared" si="0"/>
        <v>1.5</v>
      </c>
      <c r="K3">
        <f t="shared" si="0"/>
        <v>1.5</v>
      </c>
      <c r="L3">
        <f t="shared" si="0"/>
        <v>1.5</v>
      </c>
      <c r="M3">
        <f t="shared" si="0"/>
        <v>1.5</v>
      </c>
      <c r="N3">
        <f t="shared" si="0"/>
        <v>1.5</v>
      </c>
      <c r="O3">
        <f t="shared" si="0"/>
        <v>1.5</v>
      </c>
      <c r="P3">
        <f t="shared" si="0"/>
        <v>1.5</v>
      </c>
      <c r="Q3">
        <f t="shared" si="0"/>
        <v>1.5</v>
      </c>
      <c r="R3">
        <f t="shared" si="0"/>
        <v>1.5</v>
      </c>
      <c r="S3">
        <f t="shared" si="0"/>
        <v>1.5</v>
      </c>
      <c r="T3">
        <f t="shared" si="0"/>
        <v>1.5</v>
      </c>
      <c r="U3">
        <f t="shared" si="0"/>
        <v>1.5</v>
      </c>
      <c r="V3">
        <f t="shared" si="0"/>
        <v>1.5</v>
      </c>
      <c r="X3" s="26" t="s">
        <v>1</v>
      </c>
      <c r="Y3" s="26" t="s">
        <v>195</v>
      </c>
      <c r="Z3" s="26" t="s">
        <v>196</v>
      </c>
    </row>
    <row r="4" spans="1:26">
      <c r="A4" s="32">
        <v>2022</v>
      </c>
      <c r="B4" s="32" t="s">
        <v>269</v>
      </c>
      <c r="C4" s="33">
        <f t="shared" ref="C4:V4" si="1">SUM(C3:C3)*$Z$4</f>
        <v>0</v>
      </c>
      <c r="D4" s="33">
        <f t="shared" si="1"/>
        <v>0</v>
      </c>
      <c r="E4" s="33">
        <f t="shared" si="1"/>
        <v>0</v>
      </c>
      <c r="F4" s="33">
        <f t="shared" si="1"/>
        <v>0</v>
      </c>
      <c r="G4" s="33">
        <f t="shared" si="1"/>
        <v>0.39125000000000004</v>
      </c>
      <c r="H4" s="33">
        <f t="shared" si="1"/>
        <v>0.39125000000000004</v>
      </c>
      <c r="I4" s="33">
        <f t="shared" si="1"/>
        <v>0.39125000000000004</v>
      </c>
      <c r="J4" s="33">
        <f t="shared" si="1"/>
        <v>0.39125000000000004</v>
      </c>
      <c r="K4" s="33">
        <f t="shared" si="1"/>
        <v>0.39125000000000004</v>
      </c>
      <c r="L4" s="33">
        <f t="shared" si="1"/>
        <v>0.39125000000000004</v>
      </c>
      <c r="M4" s="33">
        <f t="shared" si="1"/>
        <v>0.39125000000000004</v>
      </c>
      <c r="N4" s="33">
        <f t="shared" si="1"/>
        <v>0.39125000000000004</v>
      </c>
      <c r="O4" s="33">
        <f t="shared" si="1"/>
        <v>0.39125000000000004</v>
      </c>
      <c r="P4" s="33">
        <f t="shared" si="1"/>
        <v>0.39125000000000004</v>
      </c>
      <c r="Q4" s="33">
        <f t="shared" si="1"/>
        <v>0.39125000000000004</v>
      </c>
      <c r="R4" s="33">
        <f t="shared" si="1"/>
        <v>0.39125000000000004</v>
      </c>
      <c r="S4" s="33">
        <f t="shared" si="1"/>
        <v>0.39125000000000004</v>
      </c>
      <c r="T4" s="33">
        <f t="shared" si="1"/>
        <v>0.39125000000000004</v>
      </c>
      <c r="U4" s="33">
        <f t="shared" si="1"/>
        <v>0.39125000000000004</v>
      </c>
      <c r="V4" s="33">
        <f t="shared" si="1"/>
        <v>0.39125000000000004</v>
      </c>
      <c r="X4">
        <v>2022</v>
      </c>
      <c r="Y4" s="3">
        <v>15.65</v>
      </c>
      <c r="Z4" s="4">
        <f>Y4/60</f>
        <v>0.26083333333333336</v>
      </c>
    </row>
    <row r="5" spans="1:26">
      <c r="A5">
        <v>2023</v>
      </c>
      <c r="B5" t="s">
        <v>270</v>
      </c>
      <c r="C5">
        <v>0</v>
      </c>
      <c r="D5">
        <v>0</v>
      </c>
      <c r="E5">
        <v>0</v>
      </c>
      <c r="F5">
        <v>0</v>
      </c>
      <c r="G5">
        <f>30/20</f>
        <v>1.5</v>
      </c>
      <c r="H5">
        <f t="shared" ref="H5:V5" si="2">30/20</f>
        <v>1.5</v>
      </c>
      <c r="I5">
        <f t="shared" si="2"/>
        <v>1.5</v>
      </c>
      <c r="J5">
        <f t="shared" si="2"/>
        <v>1.5</v>
      </c>
      <c r="K5">
        <f t="shared" si="2"/>
        <v>1.5</v>
      </c>
      <c r="L5">
        <f t="shared" si="2"/>
        <v>1.5</v>
      </c>
      <c r="M5">
        <f t="shared" si="2"/>
        <v>1.5</v>
      </c>
      <c r="N5">
        <f t="shared" si="2"/>
        <v>1.5</v>
      </c>
      <c r="O5">
        <f t="shared" si="2"/>
        <v>1.5</v>
      </c>
      <c r="P5">
        <f t="shared" si="2"/>
        <v>1.5</v>
      </c>
      <c r="Q5">
        <f t="shared" si="2"/>
        <v>1.5</v>
      </c>
      <c r="R5">
        <f t="shared" si="2"/>
        <v>1.5</v>
      </c>
      <c r="S5">
        <f t="shared" si="2"/>
        <v>1.5</v>
      </c>
      <c r="T5">
        <f t="shared" si="2"/>
        <v>1.5</v>
      </c>
      <c r="U5">
        <f t="shared" si="2"/>
        <v>1.5</v>
      </c>
      <c r="V5">
        <f t="shared" si="2"/>
        <v>1.5</v>
      </c>
      <c r="X5">
        <v>2023</v>
      </c>
      <c r="Y5" s="3">
        <v>16.75</v>
      </c>
      <c r="Z5" s="3">
        <f>Y5/60</f>
        <v>0.27916666666666667</v>
      </c>
    </row>
    <row r="6" spans="1:26">
      <c r="A6" s="32">
        <v>2023</v>
      </c>
      <c r="B6" s="32" t="s">
        <v>212</v>
      </c>
      <c r="C6" s="33">
        <f t="shared" ref="C6:V6" si="3">SUM(C5:C5)*$Z$5</f>
        <v>0</v>
      </c>
      <c r="D6" s="33">
        <f t="shared" si="3"/>
        <v>0</v>
      </c>
      <c r="E6" s="33">
        <f t="shared" si="3"/>
        <v>0</v>
      </c>
      <c r="F6" s="33">
        <f t="shared" si="3"/>
        <v>0</v>
      </c>
      <c r="G6" s="33">
        <f t="shared" si="3"/>
        <v>0.41875000000000001</v>
      </c>
      <c r="H6" s="33">
        <f t="shared" si="3"/>
        <v>0.41875000000000001</v>
      </c>
      <c r="I6" s="33">
        <f t="shared" si="3"/>
        <v>0.41875000000000001</v>
      </c>
      <c r="J6" s="33">
        <f t="shared" si="3"/>
        <v>0.41875000000000001</v>
      </c>
      <c r="K6" s="33">
        <f t="shared" si="3"/>
        <v>0.41875000000000001</v>
      </c>
      <c r="L6" s="33">
        <f t="shared" si="3"/>
        <v>0.41875000000000001</v>
      </c>
      <c r="M6" s="33">
        <f t="shared" si="3"/>
        <v>0.41875000000000001</v>
      </c>
      <c r="N6" s="33">
        <f t="shared" si="3"/>
        <v>0.41875000000000001</v>
      </c>
      <c r="O6" s="33">
        <f t="shared" si="3"/>
        <v>0.41875000000000001</v>
      </c>
      <c r="P6" s="33">
        <f t="shared" si="3"/>
        <v>0.41875000000000001</v>
      </c>
      <c r="Q6" s="33">
        <f t="shared" si="3"/>
        <v>0.41875000000000001</v>
      </c>
      <c r="R6" s="33">
        <f t="shared" si="3"/>
        <v>0.41875000000000001</v>
      </c>
      <c r="S6" s="33">
        <f t="shared" si="3"/>
        <v>0.41875000000000001</v>
      </c>
      <c r="T6" s="33">
        <f t="shared" si="3"/>
        <v>0.41875000000000001</v>
      </c>
      <c r="U6" s="33">
        <f t="shared" si="3"/>
        <v>0.41875000000000001</v>
      </c>
      <c r="V6" s="33">
        <f t="shared" si="3"/>
        <v>0.41875000000000001</v>
      </c>
      <c r="X6">
        <v>2024</v>
      </c>
      <c r="Y6" s="3">
        <v>17.399999999999999</v>
      </c>
      <c r="Z6" s="3">
        <f>Y6/60</f>
        <v>0.28999999999999998</v>
      </c>
    </row>
    <row r="7" spans="1:26">
      <c r="A7">
        <v>2024</v>
      </c>
      <c r="B7" t="s">
        <v>270</v>
      </c>
      <c r="C7">
        <v>0</v>
      </c>
      <c r="D7">
        <v>0</v>
      </c>
      <c r="E7">
        <v>0</v>
      </c>
      <c r="F7">
        <v>0</v>
      </c>
      <c r="G7">
        <f>30/20</f>
        <v>1.5</v>
      </c>
      <c r="H7">
        <f t="shared" ref="H7:V7" si="4">30/20</f>
        <v>1.5</v>
      </c>
      <c r="I7">
        <f t="shared" si="4"/>
        <v>1.5</v>
      </c>
      <c r="J7">
        <f t="shared" si="4"/>
        <v>1.5</v>
      </c>
      <c r="K7">
        <f t="shared" si="4"/>
        <v>1.5</v>
      </c>
      <c r="L7">
        <f t="shared" si="4"/>
        <v>1.5</v>
      </c>
      <c r="M7">
        <f t="shared" si="4"/>
        <v>1.5</v>
      </c>
      <c r="N7">
        <f t="shared" si="4"/>
        <v>1.5</v>
      </c>
      <c r="O7">
        <f t="shared" si="4"/>
        <v>1.5</v>
      </c>
      <c r="P7">
        <f t="shared" si="4"/>
        <v>1.5</v>
      </c>
      <c r="Q7">
        <f t="shared" si="4"/>
        <v>1.5</v>
      </c>
      <c r="R7">
        <f t="shared" si="4"/>
        <v>1.5</v>
      </c>
      <c r="S7">
        <f t="shared" si="4"/>
        <v>1.5</v>
      </c>
      <c r="T7">
        <f t="shared" si="4"/>
        <v>1.5</v>
      </c>
      <c r="U7">
        <f t="shared" si="4"/>
        <v>1.5</v>
      </c>
      <c r="V7">
        <f t="shared" si="4"/>
        <v>1.5</v>
      </c>
    </row>
    <row r="8" spans="1:26">
      <c r="A8" s="32">
        <v>2024</v>
      </c>
      <c r="B8" s="32" t="s">
        <v>212</v>
      </c>
      <c r="C8" s="33">
        <f t="shared" ref="C8:V8" si="5">SUM(C7:C7)*$Z$6</f>
        <v>0</v>
      </c>
      <c r="D8" s="33">
        <f t="shared" si="5"/>
        <v>0</v>
      </c>
      <c r="E8" s="33">
        <f t="shared" si="5"/>
        <v>0</v>
      </c>
      <c r="F8" s="33">
        <f t="shared" si="5"/>
        <v>0</v>
      </c>
      <c r="G8" s="33">
        <f t="shared" si="5"/>
        <v>0.43499999999999994</v>
      </c>
      <c r="H8" s="33">
        <f t="shared" si="5"/>
        <v>0.43499999999999994</v>
      </c>
      <c r="I8" s="33">
        <f t="shared" si="5"/>
        <v>0.43499999999999994</v>
      </c>
      <c r="J8" s="33">
        <f t="shared" si="5"/>
        <v>0.43499999999999994</v>
      </c>
      <c r="K8" s="33">
        <f t="shared" si="5"/>
        <v>0.43499999999999994</v>
      </c>
      <c r="L8" s="33">
        <f t="shared" si="5"/>
        <v>0.43499999999999994</v>
      </c>
      <c r="M8" s="33">
        <f t="shared" si="5"/>
        <v>0.43499999999999994</v>
      </c>
      <c r="N8" s="33">
        <f t="shared" si="5"/>
        <v>0.43499999999999994</v>
      </c>
      <c r="O8" s="33">
        <f t="shared" si="5"/>
        <v>0.43499999999999994</v>
      </c>
      <c r="P8" s="33">
        <f t="shared" si="5"/>
        <v>0.43499999999999994</v>
      </c>
      <c r="Q8" s="33">
        <f t="shared" si="5"/>
        <v>0.43499999999999994</v>
      </c>
      <c r="R8" s="33">
        <f t="shared" si="5"/>
        <v>0.43499999999999994</v>
      </c>
      <c r="S8" s="33">
        <f t="shared" si="5"/>
        <v>0.43499999999999994</v>
      </c>
      <c r="T8" s="33">
        <f t="shared" si="5"/>
        <v>0.43499999999999994</v>
      </c>
      <c r="U8" s="33">
        <f t="shared" si="5"/>
        <v>0.43499999999999994</v>
      </c>
      <c r="V8" s="33">
        <f t="shared" si="5"/>
        <v>0.43499999999999994</v>
      </c>
    </row>
    <row r="9" spans="1:26">
      <c r="A9" s="5" t="s">
        <v>207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6">
      <c r="A10">
        <v>2022</v>
      </c>
      <c r="B10" t="s">
        <v>168</v>
      </c>
      <c r="C10">
        <v>46</v>
      </c>
      <c r="D10">
        <v>39</v>
      </c>
      <c r="E10">
        <v>50</v>
      </c>
      <c r="F10">
        <v>71</v>
      </c>
      <c r="G10">
        <v>46</v>
      </c>
      <c r="H10">
        <v>70</v>
      </c>
      <c r="I10">
        <v>65</v>
      </c>
      <c r="J10">
        <v>45</v>
      </c>
      <c r="K10">
        <v>68</v>
      </c>
      <c r="L10">
        <v>81</v>
      </c>
      <c r="M10">
        <v>36</v>
      </c>
      <c r="N10">
        <v>75</v>
      </c>
      <c r="O10">
        <v>42</v>
      </c>
      <c r="P10">
        <v>103</v>
      </c>
      <c r="Q10">
        <v>30</v>
      </c>
      <c r="R10">
        <v>132</v>
      </c>
      <c r="S10">
        <v>81</v>
      </c>
      <c r="T10">
        <v>35</v>
      </c>
      <c r="U10">
        <v>106</v>
      </c>
      <c r="V10">
        <v>34</v>
      </c>
      <c r="Y10" s="4"/>
      <c r="Z10" s="4"/>
    </row>
    <row r="11" spans="1:26">
      <c r="A11" s="32">
        <v>2022</v>
      </c>
      <c r="B11" s="32" t="s">
        <v>167</v>
      </c>
      <c r="C11" s="33">
        <f t="shared" ref="C11:V11" si="6">C10*$Z$4</f>
        <v>11.998333333333335</v>
      </c>
      <c r="D11" s="33">
        <f t="shared" si="6"/>
        <v>10.172500000000001</v>
      </c>
      <c r="E11" s="33">
        <f t="shared" si="6"/>
        <v>13.041666666666668</v>
      </c>
      <c r="F11" s="33">
        <f t="shared" si="6"/>
        <v>18.519166666666667</v>
      </c>
      <c r="G11" s="33">
        <f t="shared" si="6"/>
        <v>11.998333333333335</v>
      </c>
      <c r="H11" s="33">
        <f t="shared" si="6"/>
        <v>18.258333333333336</v>
      </c>
      <c r="I11" s="33">
        <f t="shared" si="6"/>
        <v>16.954166666666669</v>
      </c>
      <c r="J11" s="33">
        <f t="shared" si="6"/>
        <v>11.737500000000001</v>
      </c>
      <c r="K11" s="33">
        <f t="shared" si="6"/>
        <v>17.736666666666668</v>
      </c>
      <c r="L11" s="33">
        <f t="shared" si="6"/>
        <v>21.127500000000001</v>
      </c>
      <c r="M11" s="33">
        <f t="shared" si="6"/>
        <v>9.39</v>
      </c>
      <c r="N11" s="33">
        <f t="shared" si="6"/>
        <v>19.562500000000004</v>
      </c>
      <c r="O11" s="33">
        <f t="shared" si="6"/>
        <v>10.955000000000002</v>
      </c>
      <c r="P11" s="33">
        <f t="shared" si="6"/>
        <v>26.865833333333335</v>
      </c>
      <c r="Q11" s="33">
        <f t="shared" si="6"/>
        <v>7.8250000000000011</v>
      </c>
      <c r="R11" s="33">
        <f t="shared" si="6"/>
        <v>34.430000000000007</v>
      </c>
      <c r="S11" s="33">
        <f t="shared" si="6"/>
        <v>21.127500000000001</v>
      </c>
      <c r="T11" s="33">
        <f t="shared" si="6"/>
        <v>9.1291666666666682</v>
      </c>
      <c r="U11" s="33">
        <f t="shared" si="6"/>
        <v>27.648333333333337</v>
      </c>
      <c r="V11" s="33">
        <f t="shared" si="6"/>
        <v>8.8683333333333341</v>
      </c>
      <c r="Y11" s="4"/>
    </row>
    <row r="12" spans="1:26">
      <c r="A12">
        <v>2023</v>
      </c>
      <c r="B12" t="s">
        <v>168</v>
      </c>
      <c r="C12" s="18">
        <v>123.5</v>
      </c>
      <c r="D12" s="18">
        <v>93.916666666666671</v>
      </c>
      <c r="E12" s="18">
        <v>79.5</v>
      </c>
      <c r="F12" s="18">
        <v>108.075</v>
      </c>
      <c r="G12" s="18">
        <v>78.0625</v>
      </c>
      <c r="H12" s="18">
        <v>88.775000000000006</v>
      </c>
      <c r="I12" s="18">
        <v>102.75</v>
      </c>
      <c r="J12" s="18">
        <v>88</v>
      </c>
      <c r="K12" s="18">
        <v>93.262500000000003</v>
      </c>
      <c r="L12" s="18">
        <v>75.5</v>
      </c>
      <c r="M12" s="18">
        <v>56.25</v>
      </c>
      <c r="N12" s="18">
        <v>86.9</v>
      </c>
      <c r="O12" s="18">
        <v>74.6875</v>
      </c>
      <c r="P12" s="18">
        <v>114.325</v>
      </c>
      <c r="Q12" s="18">
        <v>74</v>
      </c>
      <c r="R12" s="18">
        <v>154.58750000000001</v>
      </c>
      <c r="S12" s="18">
        <v>97.5</v>
      </c>
      <c r="T12" s="18">
        <v>63.375</v>
      </c>
      <c r="U12" s="18">
        <v>117.15</v>
      </c>
      <c r="V12" s="18">
        <v>41.5</v>
      </c>
    </row>
    <row r="13" spans="1:26">
      <c r="A13" s="32">
        <v>2023</v>
      </c>
      <c r="B13" s="32" t="s">
        <v>167</v>
      </c>
      <c r="C13" s="33">
        <f t="shared" ref="C13:V13" si="7">C12*$Z$5</f>
        <v>34.477083333333333</v>
      </c>
      <c r="D13" s="33">
        <f t="shared" si="7"/>
        <v>26.218402777777779</v>
      </c>
      <c r="E13" s="33">
        <f t="shared" si="7"/>
        <v>22.193750000000001</v>
      </c>
      <c r="F13" s="33">
        <f t="shared" si="7"/>
        <v>30.170937500000001</v>
      </c>
      <c r="G13" s="33">
        <f t="shared" si="7"/>
        <v>21.792447916666667</v>
      </c>
      <c r="H13" s="33">
        <f t="shared" si="7"/>
        <v>24.783020833333335</v>
      </c>
      <c r="I13" s="33">
        <f t="shared" si="7"/>
        <v>28.684374999999999</v>
      </c>
      <c r="J13" s="33">
        <f t="shared" si="7"/>
        <v>24.566666666666666</v>
      </c>
      <c r="K13" s="33">
        <f t="shared" si="7"/>
        <v>26.035781250000003</v>
      </c>
      <c r="L13" s="33">
        <f t="shared" si="7"/>
        <v>21.077083333333334</v>
      </c>
      <c r="M13" s="33">
        <f t="shared" si="7"/>
        <v>15.703125</v>
      </c>
      <c r="N13" s="33">
        <f t="shared" si="7"/>
        <v>24.259583333333335</v>
      </c>
      <c r="O13" s="33">
        <f t="shared" si="7"/>
        <v>20.850260416666668</v>
      </c>
      <c r="P13" s="33">
        <f t="shared" si="7"/>
        <v>31.915729166666669</v>
      </c>
      <c r="Q13" s="33">
        <f t="shared" si="7"/>
        <v>20.658333333333335</v>
      </c>
      <c r="R13" s="33">
        <f t="shared" si="7"/>
        <v>43.155677083333337</v>
      </c>
      <c r="S13" s="33">
        <f t="shared" si="7"/>
        <v>27.21875</v>
      </c>
      <c r="T13" s="33">
        <f t="shared" si="7"/>
        <v>17.692187499999999</v>
      </c>
      <c r="U13" s="33">
        <f t="shared" si="7"/>
        <v>32.704375000000006</v>
      </c>
      <c r="V13" s="33">
        <f t="shared" si="7"/>
        <v>11.585416666666667</v>
      </c>
    </row>
    <row r="14" spans="1:26">
      <c r="A14">
        <v>2024</v>
      </c>
      <c r="B14" t="s">
        <v>168</v>
      </c>
      <c r="C14">
        <v>227.25</v>
      </c>
      <c r="D14">
        <v>155</v>
      </c>
      <c r="E14">
        <v>144.25</v>
      </c>
      <c r="F14">
        <v>191.25</v>
      </c>
      <c r="G14">
        <v>152.75</v>
      </c>
      <c r="H14">
        <v>135.5</v>
      </c>
      <c r="I14">
        <v>157.75</v>
      </c>
      <c r="J14">
        <v>155.75</v>
      </c>
      <c r="K14">
        <v>177.5</v>
      </c>
      <c r="L14">
        <v>126.25</v>
      </c>
      <c r="M14">
        <v>128.75</v>
      </c>
      <c r="N14">
        <v>188.65</v>
      </c>
      <c r="O14">
        <v>151.5</v>
      </c>
      <c r="P14">
        <v>177.5</v>
      </c>
      <c r="Q14">
        <v>132.75</v>
      </c>
      <c r="R14">
        <v>249.25</v>
      </c>
      <c r="S14">
        <v>164.5</v>
      </c>
      <c r="T14">
        <v>140.25</v>
      </c>
      <c r="U14">
        <v>186.25</v>
      </c>
      <c r="V14">
        <v>113.5</v>
      </c>
    </row>
    <row r="15" spans="1:26">
      <c r="A15" s="32">
        <v>2024</v>
      </c>
      <c r="B15" s="32" t="s">
        <v>167</v>
      </c>
      <c r="C15" s="33">
        <f t="shared" ref="C15:V15" si="8">C14*$Z$6</f>
        <v>65.902499999999989</v>
      </c>
      <c r="D15" s="33">
        <f t="shared" si="8"/>
        <v>44.949999999999996</v>
      </c>
      <c r="E15" s="33">
        <f t="shared" si="8"/>
        <v>41.832499999999996</v>
      </c>
      <c r="F15" s="33">
        <f t="shared" si="8"/>
        <v>55.462499999999999</v>
      </c>
      <c r="G15" s="33">
        <f t="shared" si="8"/>
        <v>44.297499999999999</v>
      </c>
      <c r="H15" s="33">
        <f t="shared" si="8"/>
        <v>39.294999999999995</v>
      </c>
      <c r="I15" s="33">
        <f t="shared" si="8"/>
        <v>45.747499999999995</v>
      </c>
      <c r="J15" s="33">
        <f t="shared" si="8"/>
        <v>45.167499999999997</v>
      </c>
      <c r="K15" s="33">
        <f t="shared" si="8"/>
        <v>51.474999999999994</v>
      </c>
      <c r="L15" s="33">
        <f t="shared" si="8"/>
        <v>36.612499999999997</v>
      </c>
      <c r="M15" s="33">
        <f t="shared" si="8"/>
        <v>37.337499999999999</v>
      </c>
      <c r="N15" s="33">
        <f t="shared" si="8"/>
        <v>54.708500000000001</v>
      </c>
      <c r="O15" s="33">
        <f t="shared" si="8"/>
        <v>43.934999999999995</v>
      </c>
      <c r="P15" s="33">
        <f t="shared" si="8"/>
        <v>51.474999999999994</v>
      </c>
      <c r="Q15" s="33">
        <f t="shared" si="8"/>
        <v>38.497499999999995</v>
      </c>
      <c r="R15" s="33">
        <f t="shared" si="8"/>
        <v>72.282499999999999</v>
      </c>
      <c r="S15" s="33">
        <f t="shared" si="8"/>
        <v>47.704999999999998</v>
      </c>
      <c r="T15" s="33">
        <f t="shared" si="8"/>
        <v>40.672499999999999</v>
      </c>
      <c r="U15" s="33">
        <f t="shared" si="8"/>
        <v>54.012499999999996</v>
      </c>
      <c r="V15" s="33">
        <f t="shared" si="8"/>
        <v>32.914999999999999</v>
      </c>
    </row>
    <row r="16" spans="1:26">
      <c r="A16" s="5" t="s">
        <v>206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</row>
    <row r="17" spans="1:22">
      <c r="A17">
        <v>2022</v>
      </c>
      <c r="B17" t="s">
        <v>197</v>
      </c>
      <c r="C17">
        <v>19</v>
      </c>
      <c r="D17">
        <v>21</v>
      </c>
      <c r="E17">
        <v>18</v>
      </c>
      <c r="F17">
        <v>21</v>
      </c>
      <c r="G17">
        <v>15</v>
      </c>
      <c r="H17">
        <v>17</v>
      </c>
      <c r="I17">
        <v>16</v>
      </c>
      <c r="J17">
        <v>24</v>
      </c>
      <c r="K17">
        <v>15</v>
      </c>
      <c r="L17">
        <v>13</v>
      </c>
      <c r="M17">
        <v>24</v>
      </c>
      <c r="N17">
        <v>16</v>
      </c>
      <c r="O17">
        <v>19</v>
      </c>
      <c r="P17">
        <v>10</v>
      </c>
      <c r="Q17">
        <v>15</v>
      </c>
      <c r="R17">
        <v>9</v>
      </c>
      <c r="S17">
        <v>9</v>
      </c>
      <c r="T17">
        <v>19</v>
      </c>
      <c r="U17">
        <v>8</v>
      </c>
      <c r="V17">
        <v>20</v>
      </c>
    </row>
    <row r="18" spans="1:22">
      <c r="A18">
        <v>2022</v>
      </c>
      <c r="B18" t="s">
        <v>198</v>
      </c>
      <c r="C18">
        <v>4</v>
      </c>
      <c r="D18">
        <v>17</v>
      </c>
      <c r="E18">
        <v>13</v>
      </c>
      <c r="F18">
        <v>14</v>
      </c>
      <c r="G18">
        <v>9</v>
      </c>
      <c r="H18">
        <v>8</v>
      </c>
      <c r="I18">
        <v>10</v>
      </c>
      <c r="J18">
        <v>7</v>
      </c>
      <c r="K18">
        <v>5</v>
      </c>
      <c r="L18">
        <v>5</v>
      </c>
      <c r="M18">
        <v>7</v>
      </c>
      <c r="N18">
        <v>4</v>
      </c>
      <c r="O18">
        <v>5</v>
      </c>
      <c r="P18">
        <v>6</v>
      </c>
      <c r="Q18">
        <v>4</v>
      </c>
      <c r="R18">
        <v>4</v>
      </c>
      <c r="S18">
        <v>6</v>
      </c>
      <c r="T18">
        <v>5</v>
      </c>
      <c r="U18">
        <v>5</v>
      </c>
      <c r="V18">
        <v>5</v>
      </c>
    </row>
    <row r="19" spans="1:22">
      <c r="A19">
        <v>2022</v>
      </c>
      <c r="B19" t="s">
        <v>199</v>
      </c>
      <c r="C19">
        <v>1.75</v>
      </c>
      <c r="D19">
        <v>2</v>
      </c>
      <c r="E19">
        <v>1.5</v>
      </c>
      <c r="F19">
        <v>1.75</v>
      </c>
      <c r="G19">
        <v>1.5</v>
      </c>
      <c r="H19">
        <v>1.75</v>
      </c>
      <c r="I19">
        <v>1.25</v>
      </c>
      <c r="J19">
        <v>1.75</v>
      </c>
      <c r="K19">
        <v>1.75</v>
      </c>
      <c r="L19">
        <v>2</v>
      </c>
      <c r="M19">
        <v>2</v>
      </c>
      <c r="N19">
        <v>1.75</v>
      </c>
      <c r="O19">
        <v>1.5</v>
      </c>
      <c r="P19">
        <v>2</v>
      </c>
      <c r="Q19">
        <v>1.5</v>
      </c>
      <c r="R19">
        <v>1.5</v>
      </c>
      <c r="S19">
        <v>2</v>
      </c>
      <c r="T19">
        <v>2</v>
      </c>
      <c r="U19">
        <v>2</v>
      </c>
      <c r="V19">
        <v>3</v>
      </c>
    </row>
    <row r="20" spans="1:22">
      <c r="A20" s="32">
        <v>2022</v>
      </c>
      <c r="B20" s="32" t="s">
        <v>200</v>
      </c>
      <c r="C20" s="34">
        <f t="shared" ref="C20:V20" si="9">C17*$Z$4</f>
        <v>4.9558333333333335</v>
      </c>
      <c r="D20" s="34">
        <f t="shared" si="9"/>
        <v>5.4775000000000009</v>
      </c>
      <c r="E20" s="34">
        <f t="shared" si="9"/>
        <v>4.6950000000000003</v>
      </c>
      <c r="F20" s="34">
        <f t="shared" si="9"/>
        <v>5.4775000000000009</v>
      </c>
      <c r="G20" s="34">
        <f t="shared" si="9"/>
        <v>3.9125000000000005</v>
      </c>
      <c r="H20" s="34">
        <f t="shared" si="9"/>
        <v>4.434166666666667</v>
      </c>
      <c r="I20" s="34">
        <f t="shared" si="9"/>
        <v>4.1733333333333338</v>
      </c>
      <c r="J20" s="34">
        <f t="shared" si="9"/>
        <v>6.2600000000000007</v>
      </c>
      <c r="K20" s="34">
        <f t="shared" si="9"/>
        <v>3.9125000000000005</v>
      </c>
      <c r="L20" s="34">
        <f t="shared" si="9"/>
        <v>3.3908333333333336</v>
      </c>
      <c r="M20" s="34">
        <f t="shared" si="9"/>
        <v>6.2600000000000007</v>
      </c>
      <c r="N20" s="34">
        <f t="shared" si="9"/>
        <v>4.1733333333333338</v>
      </c>
      <c r="O20" s="34">
        <f t="shared" si="9"/>
        <v>4.9558333333333335</v>
      </c>
      <c r="P20" s="34">
        <f t="shared" si="9"/>
        <v>2.6083333333333334</v>
      </c>
      <c r="Q20" s="34">
        <f t="shared" si="9"/>
        <v>3.9125000000000005</v>
      </c>
      <c r="R20" s="34">
        <f t="shared" si="9"/>
        <v>2.3475000000000001</v>
      </c>
      <c r="S20" s="34">
        <f t="shared" si="9"/>
        <v>2.3475000000000001</v>
      </c>
      <c r="T20" s="34">
        <f t="shared" si="9"/>
        <v>4.9558333333333335</v>
      </c>
      <c r="U20" s="34">
        <f t="shared" si="9"/>
        <v>2.0866666666666669</v>
      </c>
      <c r="V20" s="34">
        <f t="shared" si="9"/>
        <v>5.2166666666666668</v>
      </c>
    </row>
    <row r="21" spans="1:22">
      <c r="A21" s="32">
        <v>2022</v>
      </c>
      <c r="B21" s="32" t="s">
        <v>201</v>
      </c>
      <c r="C21" s="34">
        <f t="shared" ref="C21:V21" si="10">C18*$Z$4</f>
        <v>1.0433333333333334</v>
      </c>
      <c r="D21" s="34">
        <f t="shared" si="10"/>
        <v>4.434166666666667</v>
      </c>
      <c r="E21" s="34">
        <f t="shared" si="10"/>
        <v>3.3908333333333336</v>
      </c>
      <c r="F21" s="34">
        <f t="shared" si="10"/>
        <v>3.6516666666666673</v>
      </c>
      <c r="G21" s="34">
        <f t="shared" si="10"/>
        <v>2.3475000000000001</v>
      </c>
      <c r="H21" s="34">
        <f t="shared" si="10"/>
        <v>2.0866666666666669</v>
      </c>
      <c r="I21" s="34">
        <f t="shared" si="10"/>
        <v>2.6083333333333334</v>
      </c>
      <c r="J21" s="34">
        <f t="shared" si="10"/>
        <v>1.8258333333333336</v>
      </c>
      <c r="K21" s="34">
        <f t="shared" si="10"/>
        <v>1.3041666666666667</v>
      </c>
      <c r="L21" s="34">
        <f t="shared" si="10"/>
        <v>1.3041666666666667</v>
      </c>
      <c r="M21" s="34">
        <f t="shared" si="10"/>
        <v>1.8258333333333336</v>
      </c>
      <c r="N21" s="34">
        <f t="shared" si="10"/>
        <v>1.0433333333333334</v>
      </c>
      <c r="O21" s="34">
        <f t="shared" si="10"/>
        <v>1.3041666666666667</v>
      </c>
      <c r="P21" s="34">
        <f t="shared" si="10"/>
        <v>1.5650000000000002</v>
      </c>
      <c r="Q21" s="34">
        <f t="shared" si="10"/>
        <v>1.0433333333333334</v>
      </c>
      <c r="R21" s="34">
        <f t="shared" si="10"/>
        <v>1.0433333333333334</v>
      </c>
      <c r="S21" s="34">
        <f t="shared" si="10"/>
        <v>1.5650000000000002</v>
      </c>
      <c r="T21" s="34">
        <f t="shared" si="10"/>
        <v>1.3041666666666667</v>
      </c>
      <c r="U21" s="34">
        <f t="shared" si="10"/>
        <v>1.3041666666666667</v>
      </c>
      <c r="V21" s="34">
        <f t="shared" si="10"/>
        <v>1.3041666666666667</v>
      </c>
    </row>
    <row r="22" spans="1:22">
      <c r="A22" s="32">
        <v>2022</v>
      </c>
      <c r="B22" s="32" t="s">
        <v>202</v>
      </c>
      <c r="C22" s="34">
        <f t="shared" ref="C22:V22" si="11">C19*$Z$4</f>
        <v>0.45645833333333341</v>
      </c>
      <c r="D22" s="34">
        <f t="shared" si="11"/>
        <v>0.52166666666666672</v>
      </c>
      <c r="E22" s="34">
        <f t="shared" si="11"/>
        <v>0.39125000000000004</v>
      </c>
      <c r="F22" s="34">
        <f t="shared" si="11"/>
        <v>0.45645833333333341</v>
      </c>
      <c r="G22" s="34">
        <f t="shared" si="11"/>
        <v>0.39125000000000004</v>
      </c>
      <c r="H22" s="34">
        <f t="shared" si="11"/>
        <v>0.45645833333333341</v>
      </c>
      <c r="I22" s="34">
        <f t="shared" si="11"/>
        <v>0.32604166666666667</v>
      </c>
      <c r="J22" s="34">
        <f t="shared" si="11"/>
        <v>0.45645833333333341</v>
      </c>
      <c r="K22" s="34">
        <f t="shared" si="11"/>
        <v>0.45645833333333341</v>
      </c>
      <c r="L22" s="34">
        <f t="shared" si="11"/>
        <v>0.52166666666666672</v>
      </c>
      <c r="M22" s="34">
        <f t="shared" si="11"/>
        <v>0.52166666666666672</v>
      </c>
      <c r="N22" s="34">
        <f t="shared" si="11"/>
        <v>0.45645833333333341</v>
      </c>
      <c r="O22" s="34">
        <f t="shared" si="11"/>
        <v>0.39125000000000004</v>
      </c>
      <c r="P22" s="34">
        <f t="shared" si="11"/>
        <v>0.52166666666666672</v>
      </c>
      <c r="Q22" s="34">
        <f t="shared" si="11"/>
        <v>0.39125000000000004</v>
      </c>
      <c r="R22" s="34">
        <f t="shared" si="11"/>
        <v>0.39125000000000004</v>
      </c>
      <c r="S22" s="34">
        <f t="shared" si="11"/>
        <v>0.52166666666666672</v>
      </c>
      <c r="T22" s="34">
        <f t="shared" si="11"/>
        <v>0.52166666666666672</v>
      </c>
      <c r="U22" s="34">
        <f t="shared" si="11"/>
        <v>0.52166666666666672</v>
      </c>
      <c r="V22" s="34">
        <f t="shared" si="11"/>
        <v>0.78250000000000008</v>
      </c>
    </row>
    <row r="23" spans="1:22">
      <c r="A23">
        <v>2023</v>
      </c>
      <c r="B23" t="s">
        <v>197</v>
      </c>
      <c r="C23">
        <v>48</v>
      </c>
      <c r="D23">
        <v>44</v>
      </c>
      <c r="E23">
        <v>53.75</v>
      </c>
      <c r="F23">
        <v>39.75</v>
      </c>
      <c r="G23">
        <v>34</v>
      </c>
      <c r="H23">
        <v>56.5</v>
      </c>
      <c r="I23">
        <v>48.75</v>
      </c>
      <c r="J23">
        <v>50.25</v>
      </c>
      <c r="K23">
        <v>36.75</v>
      </c>
      <c r="L23">
        <v>35.5</v>
      </c>
      <c r="M23">
        <v>53</v>
      </c>
      <c r="N23">
        <v>44</v>
      </c>
      <c r="O23">
        <v>68.5</v>
      </c>
      <c r="P23">
        <v>40.5</v>
      </c>
      <c r="Q23">
        <v>63.5</v>
      </c>
      <c r="R23">
        <v>42.5</v>
      </c>
      <c r="S23">
        <v>44.75</v>
      </c>
      <c r="T23">
        <v>52</v>
      </c>
      <c r="U23">
        <v>50.75</v>
      </c>
      <c r="V23">
        <v>63.5</v>
      </c>
    </row>
    <row r="24" spans="1:22">
      <c r="A24">
        <v>2023</v>
      </c>
      <c r="B24" t="s">
        <v>198</v>
      </c>
      <c r="C24">
        <v>15.5</v>
      </c>
      <c r="D24">
        <v>24.5</v>
      </c>
      <c r="E24">
        <v>16.75</v>
      </c>
      <c r="F24">
        <v>21.5</v>
      </c>
      <c r="G24">
        <v>20</v>
      </c>
      <c r="H24">
        <v>14.25</v>
      </c>
      <c r="I24">
        <v>15.5</v>
      </c>
      <c r="J24">
        <v>26.5</v>
      </c>
      <c r="K24">
        <v>11.75</v>
      </c>
      <c r="L24">
        <v>20</v>
      </c>
      <c r="M24">
        <v>16.75</v>
      </c>
      <c r="N24">
        <v>17</v>
      </c>
      <c r="O24">
        <v>19</v>
      </c>
      <c r="P24">
        <v>17</v>
      </c>
      <c r="Q24">
        <v>21</v>
      </c>
      <c r="R24">
        <v>24</v>
      </c>
      <c r="S24">
        <v>13</v>
      </c>
      <c r="T24">
        <v>14</v>
      </c>
      <c r="U24">
        <v>13</v>
      </c>
      <c r="V24">
        <v>10</v>
      </c>
    </row>
    <row r="25" spans="1:22">
      <c r="A25">
        <v>2023</v>
      </c>
      <c r="B25" t="s">
        <v>199</v>
      </c>
      <c r="C25">
        <v>11</v>
      </c>
      <c r="D25">
        <v>18.75</v>
      </c>
      <c r="E25">
        <v>14.75</v>
      </c>
      <c r="F25">
        <v>15.5</v>
      </c>
      <c r="G25">
        <v>18.5</v>
      </c>
      <c r="H25">
        <v>16.25</v>
      </c>
      <c r="I25">
        <v>19.25</v>
      </c>
      <c r="J25">
        <v>14.5</v>
      </c>
      <c r="K25">
        <v>11.5</v>
      </c>
      <c r="L25">
        <v>16</v>
      </c>
      <c r="M25">
        <v>15.5</v>
      </c>
      <c r="N25">
        <v>9.5</v>
      </c>
      <c r="O25">
        <v>13</v>
      </c>
      <c r="P25">
        <v>15</v>
      </c>
      <c r="Q25">
        <v>14.75</v>
      </c>
      <c r="R25">
        <v>15</v>
      </c>
      <c r="S25">
        <v>4</v>
      </c>
      <c r="T25">
        <v>9.25</v>
      </c>
      <c r="U25">
        <v>19</v>
      </c>
      <c r="V25">
        <v>15.25</v>
      </c>
    </row>
    <row r="26" spans="1:22">
      <c r="A26" s="32">
        <v>2023</v>
      </c>
      <c r="B26" s="32" t="s">
        <v>200</v>
      </c>
      <c r="C26" s="33">
        <f t="shared" ref="C26:V26" si="12">C23*$Z$5</f>
        <v>13.4</v>
      </c>
      <c r="D26" s="33">
        <f t="shared" si="12"/>
        <v>12.283333333333333</v>
      </c>
      <c r="E26" s="33">
        <f t="shared" si="12"/>
        <v>15.005208333333334</v>
      </c>
      <c r="F26" s="33">
        <f t="shared" si="12"/>
        <v>11.096875000000001</v>
      </c>
      <c r="G26" s="33">
        <f t="shared" si="12"/>
        <v>9.4916666666666671</v>
      </c>
      <c r="H26" s="33">
        <f t="shared" si="12"/>
        <v>15.772916666666667</v>
      </c>
      <c r="I26" s="33">
        <f t="shared" si="12"/>
        <v>13.609375</v>
      </c>
      <c r="J26" s="33">
        <f t="shared" si="12"/>
        <v>14.028125000000001</v>
      </c>
      <c r="K26" s="33">
        <f t="shared" si="12"/>
        <v>10.259375</v>
      </c>
      <c r="L26" s="33">
        <f t="shared" si="12"/>
        <v>9.9104166666666664</v>
      </c>
      <c r="M26" s="33">
        <f t="shared" si="12"/>
        <v>14.795833333333334</v>
      </c>
      <c r="N26" s="33">
        <f t="shared" si="12"/>
        <v>12.283333333333333</v>
      </c>
      <c r="O26" s="33">
        <f t="shared" si="12"/>
        <v>19.122916666666669</v>
      </c>
      <c r="P26" s="33">
        <f t="shared" si="12"/>
        <v>11.30625</v>
      </c>
      <c r="Q26" s="33">
        <f t="shared" si="12"/>
        <v>17.727083333333333</v>
      </c>
      <c r="R26" s="33">
        <f t="shared" si="12"/>
        <v>11.864583333333334</v>
      </c>
      <c r="S26" s="33">
        <f t="shared" si="12"/>
        <v>12.492708333333333</v>
      </c>
      <c r="T26" s="33">
        <f t="shared" si="12"/>
        <v>14.516666666666667</v>
      </c>
      <c r="U26" s="33">
        <f t="shared" si="12"/>
        <v>14.167708333333334</v>
      </c>
      <c r="V26" s="33">
        <f t="shared" si="12"/>
        <v>17.727083333333333</v>
      </c>
    </row>
    <row r="27" spans="1:22">
      <c r="A27" s="32">
        <v>2023</v>
      </c>
      <c r="B27" s="32" t="s">
        <v>201</v>
      </c>
      <c r="C27" s="33">
        <f t="shared" ref="C27:V27" si="13">C24*$Z$5</f>
        <v>4.3270833333333334</v>
      </c>
      <c r="D27" s="33">
        <f t="shared" si="13"/>
        <v>6.8395833333333336</v>
      </c>
      <c r="E27" s="33">
        <f t="shared" si="13"/>
        <v>4.6760416666666664</v>
      </c>
      <c r="F27" s="33">
        <f t="shared" si="13"/>
        <v>6.0020833333333332</v>
      </c>
      <c r="G27" s="33">
        <f t="shared" si="13"/>
        <v>5.5833333333333339</v>
      </c>
      <c r="H27" s="33">
        <f t="shared" si="13"/>
        <v>3.9781249999999999</v>
      </c>
      <c r="I27" s="33">
        <f t="shared" si="13"/>
        <v>4.3270833333333334</v>
      </c>
      <c r="J27" s="33">
        <f t="shared" si="13"/>
        <v>7.3979166666666671</v>
      </c>
      <c r="K27" s="33">
        <f t="shared" si="13"/>
        <v>3.2802083333333334</v>
      </c>
      <c r="L27" s="33">
        <f t="shared" si="13"/>
        <v>5.5833333333333339</v>
      </c>
      <c r="M27" s="33">
        <f t="shared" si="13"/>
        <v>4.6760416666666664</v>
      </c>
      <c r="N27" s="33">
        <f t="shared" si="13"/>
        <v>4.7458333333333336</v>
      </c>
      <c r="O27" s="33">
        <f t="shared" si="13"/>
        <v>5.3041666666666671</v>
      </c>
      <c r="P27" s="33">
        <f t="shared" si="13"/>
        <v>4.7458333333333336</v>
      </c>
      <c r="Q27" s="33">
        <f t="shared" si="13"/>
        <v>5.8624999999999998</v>
      </c>
      <c r="R27" s="33">
        <f t="shared" si="13"/>
        <v>6.7</v>
      </c>
      <c r="S27" s="33">
        <f t="shared" si="13"/>
        <v>3.6291666666666669</v>
      </c>
      <c r="T27" s="33">
        <f t="shared" si="13"/>
        <v>3.9083333333333332</v>
      </c>
      <c r="U27" s="33">
        <f t="shared" si="13"/>
        <v>3.6291666666666669</v>
      </c>
      <c r="V27" s="33">
        <f t="shared" si="13"/>
        <v>2.791666666666667</v>
      </c>
    </row>
    <row r="28" spans="1:22">
      <c r="A28" s="32">
        <v>2023</v>
      </c>
      <c r="B28" s="32" t="s">
        <v>202</v>
      </c>
      <c r="C28" s="33">
        <f t="shared" ref="C28:V28" si="14">C25*$Z$5</f>
        <v>3.0708333333333333</v>
      </c>
      <c r="D28" s="33">
        <f t="shared" si="14"/>
        <v>5.234375</v>
      </c>
      <c r="E28" s="33">
        <f t="shared" si="14"/>
        <v>4.1177083333333337</v>
      </c>
      <c r="F28" s="33">
        <f t="shared" si="14"/>
        <v>4.3270833333333334</v>
      </c>
      <c r="G28" s="33">
        <f t="shared" si="14"/>
        <v>5.1645833333333337</v>
      </c>
      <c r="H28" s="33">
        <f t="shared" si="14"/>
        <v>4.536458333333333</v>
      </c>
      <c r="I28" s="33">
        <f t="shared" si="14"/>
        <v>5.3739583333333334</v>
      </c>
      <c r="J28" s="33">
        <f t="shared" si="14"/>
        <v>4.0479166666666666</v>
      </c>
      <c r="K28" s="33">
        <f t="shared" si="14"/>
        <v>3.2104166666666667</v>
      </c>
      <c r="L28" s="33">
        <f t="shared" si="14"/>
        <v>4.4666666666666668</v>
      </c>
      <c r="M28" s="33">
        <f t="shared" si="14"/>
        <v>4.3270833333333334</v>
      </c>
      <c r="N28" s="33">
        <f t="shared" si="14"/>
        <v>2.6520833333333336</v>
      </c>
      <c r="O28" s="33">
        <f t="shared" si="14"/>
        <v>3.6291666666666669</v>
      </c>
      <c r="P28" s="33">
        <f t="shared" si="14"/>
        <v>4.1875</v>
      </c>
      <c r="Q28" s="33">
        <f t="shared" si="14"/>
        <v>4.1177083333333337</v>
      </c>
      <c r="R28" s="33">
        <f t="shared" si="14"/>
        <v>4.1875</v>
      </c>
      <c r="S28" s="33">
        <f t="shared" si="14"/>
        <v>1.1166666666666667</v>
      </c>
      <c r="T28" s="33">
        <f t="shared" si="14"/>
        <v>2.5822916666666669</v>
      </c>
      <c r="U28" s="33">
        <f t="shared" si="14"/>
        <v>5.3041666666666671</v>
      </c>
      <c r="V28" s="33">
        <f t="shared" si="14"/>
        <v>4.2572916666666671</v>
      </c>
    </row>
    <row r="29" spans="1:22">
      <c r="A29">
        <v>2024</v>
      </c>
      <c r="B29" t="s">
        <v>197</v>
      </c>
      <c r="C29">
        <v>19</v>
      </c>
      <c r="D29">
        <v>32.5</v>
      </c>
      <c r="E29">
        <v>53.25</v>
      </c>
      <c r="F29">
        <v>49.9</v>
      </c>
      <c r="G29">
        <v>38.25</v>
      </c>
      <c r="H29">
        <v>43</v>
      </c>
      <c r="I29">
        <v>38</v>
      </c>
      <c r="J29">
        <v>67.5</v>
      </c>
      <c r="K29">
        <v>25.5</v>
      </c>
      <c r="L29">
        <v>32.25</v>
      </c>
      <c r="M29">
        <v>56</v>
      </c>
      <c r="N29">
        <v>54.5</v>
      </c>
      <c r="O29">
        <v>49</v>
      </c>
      <c r="P29">
        <v>43</v>
      </c>
      <c r="Q29">
        <v>56</v>
      </c>
      <c r="R29">
        <v>57.5</v>
      </c>
      <c r="S29">
        <v>41.5</v>
      </c>
      <c r="T29">
        <v>50.5</v>
      </c>
      <c r="U29">
        <v>47.25</v>
      </c>
      <c r="V29">
        <v>59</v>
      </c>
    </row>
    <row r="30" spans="1:22">
      <c r="A30">
        <v>2024</v>
      </c>
      <c r="B30" t="s">
        <v>198</v>
      </c>
      <c r="C30">
        <v>26.25</v>
      </c>
      <c r="D30">
        <v>31.5</v>
      </c>
      <c r="E30">
        <v>27</v>
      </c>
      <c r="F30">
        <v>21.75</v>
      </c>
      <c r="G30">
        <v>27.75</v>
      </c>
      <c r="H30">
        <v>16.5</v>
      </c>
      <c r="I30">
        <v>24</v>
      </c>
      <c r="J30">
        <v>31.5</v>
      </c>
      <c r="K30">
        <v>24</v>
      </c>
      <c r="L30">
        <v>12</v>
      </c>
      <c r="M30">
        <v>6</v>
      </c>
      <c r="N30">
        <v>21.75</v>
      </c>
      <c r="O30">
        <v>6</v>
      </c>
      <c r="P30">
        <v>4</v>
      </c>
      <c r="Q30">
        <v>10</v>
      </c>
      <c r="R30">
        <v>20</v>
      </c>
      <c r="S30">
        <v>8</v>
      </c>
      <c r="T30">
        <v>12.25</v>
      </c>
      <c r="U30">
        <v>13</v>
      </c>
      <c r="V30">
        <v>7</v>
      </c>
    </row>
    <row r="31" spans="1:22">
      <c r="A31">
        <v>2024</v>
      </c>
      <c r="B31" t="s">
        <v>199</v>
      </c>
      <c r="C31">
        <v>24.5</v>
      </c>
      <c r="D31">
        <v>24.75</v>
      </c>
      <c r="E31">
        <v>28.25</v>
      </c>
      <c r="F31">
        <v>26.5</v>
      </c>
      <c r="G31">
        <v>25.25</v>
      </c>
      <c r="H31">
        <v>21</v>
      </c>
      <c r="I31">
        <v>24</v>
      </c>
      <c r="J31">
        <v>20.25</v>
      </c>
      <c r="K31">
        <v>24.5</v>
      </c>
      <c r="L31">
        <v>26.5</v>
      </c>
      <c r="M31">
        <v>29.75</v>
      </c>
      <c r="N31">
        <v>26.5</v>
      </c>
      <c r="O31">
        <v>23.25</v>
      </c>
      <c r="P31">
        <v>24</v>
      </c>
      <c r="Q31">
        <v>28.25</v>
      </c>
      <c r="R31">
        <v>28.75</v>
      </c>
      <c r="S31">
        <v>17.75</v>
      </c>
      <c r="T31">
        <v>21.75</v>
      </c>
      <c r="U31">
        <v>21.25</v>
      </c>
      <c r="V31">
        <v>21.75</v>
      </c>
    </row>
    <row r="32" spans="1:22">
      <c r="A32" s="32">
        <v>2024</v>
      </c>
      <c r="B32" s="32" t="s">
        <v>200</v>
      </c>
      <c r="C32" s="33">
        <f t="shared" ref="C32:V32" si="15">C29*$Z$6</f>
        <v>5.51</v>
      </c>
      <c r="D32" s="33">
        <f t="shared" si="15"/>
        <v>9.4249999999999989</v>
      </c>
      <c r="E32" s="33">
        <f t="shared" si="15"/>
        <v>15.442499999999999</v>
      </c>
      <c r="F32" s="33">
        <f t="shared" si="15"/>
        <v>14.470999999999998</v>
      </c>
      <c r="G32" s="33">
        <f t="shared" si="15"/>
        <v>11.092499999999999</v>
      </c>
      <c r="H32" s="33">
        <f t="shared" si="15"/>
        <v>12.469999999999999</v>
      </c>
      <c r="I32" s="33">
        <f t="shared" si="15"/>
        <v>11.02</v>
      </c>
      <c r="J32" s="33">
        <f t="shared" si="15"/>
        <v>19.574999999999999</v>
      </c>
      <c r="K32" s="33">
        <f t="shared" si="15"/>
        <v>7.3949999999999996</v>
      </c>
      <c r="L32" s="33">
        <f t="shared" si="15"/>
        <v>9.3524999999999991</v>
      </c>
      <c r="M32" s="33">
        <f t="shared" si="15"/>
        <v>16.239999999999998</v>
      </c>
      <c r="N32" s="33">
        <f t="shared" si="15"/>
        <v>15.805</v>
      </c>
      <c r="O32" s="33">
        <f t="shared" si="15"/>
        <v>14.209999999999999</v>
      </c>
      <c r="P32" s="33">
        <f t="shared" si="15"/>
        <v>12.469999999999999</v>
      </c>
      <c r="Q32" s="33">
        <f t="shared" si="15"/>
        <v>16.239999999999998</v>
      </c>
      <c r="R32" s="33">
        <f t="shared" si="15"/>
        <v>16.674999999999997</v>
      </c>
      <c r="S32" s="33">
        <f t="shared" si="15"/>
        <v>12.034999999999998</v>
      </c>
      <c r="T32" s="33">
        <f t="shared" si="15"/>
        <v>14.645</v>
      </c>
      <c r="U32" s="33">
        <f t="shared" si="15"/>
        <v>13.702499999999999</v>
      </c>
      <c r="V32" s="33">
        <f t="shared" si="15"/>
        <v>17.11</v>
      </c>
    </row>
    <row r="33" spans="1:23">
      <c r="A33" s="32">
        <v>2024</v>
      </c>
      <c r="B33" s="32" t="s">
        <v>201</v>
      </c>
      <c r="C33" s="33">
        <f t="shared" ref="C33:V33" si="16">C30*$Z$6</f>
        <v>7.6124999999999998</v>
      </c>
      <c r="D33" s="33">
        <f t="shared" si="16"/>
        <v>9.1349999999999998</v>
      </c>
      <c r="E33" s="33">
        <f t="shared" si="16"/>
        <v>7.8299999999999992</v>
      </c>
      <c r="F33" s="33">
        <f t="shared" si="16"/>
        <v>6.3074999999999992</v>
      </c>
      <c r="G33" s="33">
        <f t="shared" si="16"/>
        <v>8.0474999999999994</v>
      </c>
      <c r="H33" s="33">
        <f t="shared" si="16"/>
        <v>4.7849999999999993</v>
      </c>
      <c r="I33" s="33">
        <f t="shared" si="16"/>
        <v>6.9599999999999991</v>
      </c>
      <c r="J33" s="33">
        <f t="shared" si="16"/>
        <v>9.1349999999999998</v>
      </c>
      <c r="K33" s="33">
        <f t="shared" si="16"/>
        <v>6.9599999999999991</v>
      </c>
      <c r="L33" s="33">
        <f t="shared" si="16"/>
        <v>3.4799999999999995</v>
      </c>
      <c r="M33" s="33">
        <f t="shared" si="16"/>
        <v>1.7399999999999998</v>
      </c>
      <c r="N33" s="33">
        <f t="shared" si="16"/>
        <v>6.3074999999999992</v>
      </c>
      <c r="O33" s="33">
        <f t="shared" si="16"/>
        <v>1.7399999999999998</v>
      </c>
      <c r="P33" s="33">
        <f t="shared" si="16"/>
        <v>1.1599999999999999</v>
      </c>
      <c r="Q33" s="33">
        <f t="shared" si="16"/>
        <v>2.9</v>
      </c>
      <c r="R33" s="33">
        <f t="shared" si="16"/>
        <v>5.8</v>
      </c>
      <c r="S33" s="33">
        <f t="shared" si="16"/>
        <v>2.3199999999999998</v>
      </c>
      <c r="T33" s="33">
        <f t="shared" si="16"/>
        <v>3.5524999999999998</v>
      </c>
      <c r="U33" s="33">
        <f t="shared" si="16"/>
        <v>3.7699999999999996</v>
      </c>
      <c r="V33" s="33">
        <f t="shared" si="16"/>
        <v>2.0299999999999998</v>
      </c>
    </row>
    <row r="34" spans="1:23">
      <c r="A34" s="32">
        <v>2024</v>
      </c>
      <c r="B34" s="32" t="s">
        <v>202</v>
      </c>
      <c r="C34" s="33">
        <f t="shared" ref="C34:V34" si="17">C31*$Z$6</f>
        <v>7.1049999999999995</v>
      </c>
      <c r="D34" s="33">
        <f t="shared" si="17"/>
        <v>7.1774999999999993</v>
      </c>
      <c r="E34" s="33">
        <f t="shared" si="17"/>
        <v>8.192499999999999</v>
      </c>
      <c r="F34" s="33">
        <f t="shared" si="17"/>
        <v>7.6849999999999996</v>
      </c>
      <c r="G34" s="33">
        <f t="shared" si="17"/>
        <v>7.3224999999999998</v>
      </c>
      <c r="H34" s="33">
        <f t="shared" si="17"/>
        <v>6.09</v>
      </c>
      <c r="I34" s="33">
        <f t="shared" si="17"/>
        <v>6.9599999999999991</v>
      </c>
      <c r="J34" s="33">
        <f t="shared" si="17"/>
        <v>5.8724999999999996</v>
      </c>
      <c r="K34" s="33">
        <f t="shared" si="17"/>
        <v>7.1049999999999995</v>
      </c>
      <c r="L34" s="33">
        <f t="shared" si="17"/>
        <v>7.6849999999999996</v>
      </c>
      <c r="M34" s="33">
        <f t="shared" si="17"/>
        <v>8.6274999999999995</v>
      </c>
      <c r="N34" s="33">
        <f t="shared" si="17"/>
        <v>7.6849999999999996</v>
      </c>
      <c r="O34" s="33">
        <f t="shared" si="17"/>
        <v>6.7424999999999997</v>
      </c>
      <c r="P34" s="33">
        <f t="shared" si="17"/>
        <v>6.9599999999999991</v>
      </c>
      <c r="Q34" s="33">
        <f t="shared" si="17"/>
        <v>8.192499999999999</v>
      </c>
      <c r="R34" s="33">
        <f t="shared" si="17"/>
        <v>8.3374999999999986</v>
      </c>
      <c r="S34" s="33">
        <f t="shared" si="17"/>
        <v>5.1475</v>
      </c>
      <c r="T34" s="33">
        <f t="shared" si="17"/>
        <v>6.3074999999999992</v>
      </c>
      <c r="U34" s="33">
        <f t="shared" si="17"/>
        <v>6.1624999999999996</v>
      </c>
      <c r="V34" s="33">
        <f t="shared" si="17"/>
        <v>6.3074999999999992</v>
      </c>
    </row>
    <row r="35" spans="1:23">
      <c r="A35" s="5" t="s">
        <v>213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3">
      <c r="A36">
        <v>2022</v>
      </c>
      <c r="B36" t="s">
        <v>293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3">
      <c r="A37" s="32">
        <v>2022</v>
      </c>
      <c r="B37" s="32" t="s">
        <v>294</v>
      </c>
      <c r="C37" s="33">
        <f t="shared" ref="C37:V37" si="18">C36*$Z$4</f>
        <v>0</v>
      </c>
      <c r="D37" s="33">
        <f t="shared" si="18"/>
        <v>0</v>
      </c>
      <c r="E37" s="33">
        <f t="shared" si="18"/>
        <v>0</v>
      </c>
      <c r="F37" s="33">
        <f t="shared" si="18"/>
        <v>0</v>
      </c>
      <c r="G37" s="33">
        <f t="shared" si="18"/>
        <v>0</v>
      </c>
      <c r="H37" s="33">
        <f t="shared" si="18"/>
        <v>0</v>
      </c>
      <c r="I37" s="33">
        <f t="shared" si="18"/>
        <v>0</v>
      </c>
      <c r="J37" s="33">
        <f t="shared" si="18"/>
        <v>0</v>
      </c>
      <c r="K37" s="33">
        <f t="shared" si="18"/>
        <v>0</v>
      </c>
      <c r="L37" s="33">
        <f t="shared" si="18"/>
        <v>0</v>
      </c>
      <c r="M37" s="33">
        <f t="shared" si="18"/>
        <v>0</v>
      </c>
      <c r="N37" s="33">
        <f t="shared" si="18"/>
        <v>0</v>
      </c>
      <c r="O37" s="33">
        <f t="shared" si="18"/>
        <v>0</v>
      </c>
      <c r="P37" s="33">
        <f t="shared" si="18"/>
        <v>0</v>
      </c>
      <c r="Q37" s="33">
        <f t="shared" si="18"/>
        <v>0</v>
      </c>
      <c r="R37" s="33">
        <f t="shared" si="18"/>
        <v>0</v>
      </c>
      <c r="S37" s="33">
        <f t="shared" si="18"/>
        <v>0</v>
      </c>
      <c r="T37" s="33">
        <f t="shared" si="18"/>
        <v>0</v>
      </c>
      <c r="U37" s="33">
        <f t="shared" si="18"/>
        <v>0</v>
      </c>
      <c r="V37" s="33">
        <f t="shared" si="18"/>
        <v>0</v>
      </c>
    </row>
    <row r="38" spans="1:23">
      <c r="A38">
        <v>2023</v>
      </c>
      <c r="B38" t="s">
        <v>293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f>(5*60)/8</f>
        <v>37.5</v>
      </c>
      <c r="P38">
        <f t="shared" ref="P38:V40" si="19">(5*60)/8</f>
        <v>37.5</v>
      </c>
      <c r="Q38">
        <f t="shared" si="19"/>
        <v>37.5</v>
      </c>
      <c r="R38">
        <f t="shared" si="19"/>
        <v>37.5</v>
      </c>
      <c r="S38">
        <f t="shared" si="19"/>
        <v>37.5</v>
      </c>
      <c r="T38">
        <f t="shared" si="19"/>
        <v>37.5</v>
      </c>
      <c r="U38">
        <f t="shared" si="19"/>
        <v>37.5</v>
      </c>
      <c r="V38">
        <f t="shared" si="19"/>
        <v>37.5</v>
      </c>
      <c r="W38" t="s">
        <v>295</v>
      </c>
    </row>
    <row r="39" spans="1:23">
      <c r="A39" s="32">
        <v>2023</v>
      </c>
      <c r="B39" s="32" t="s">
        <v>294</v>
      </c>
      <c r="C39" s="33">
        <f t="shared" ref="C39:V39" si="20">C38*$Z$5</f>
        <v>0</v>
      </c>
      <c r="D39" s="33">
        <f t="shared" si="20"/>
        <v>0</v>
      </c>
      <c r="E39" s="33">
        <f t="shared" si="20"/>
        <v>0</v>
      </c>
      <c r="F39" s="33">
        <f t="shared" si="20"/>
        <v>0</v>
      </c>
      <c r="G39" s="33">
        <f t="shared" si="20"/>
        <v>0</v>
      </c>
      <c r="H39" s="33">
        <f t="shared" si="20"/>
        <v>0</v>
      </c>
      <c r="I39" s="33">
        <f t="shared" si="20"/>
        <v>0</v>
      </c>
      <c r="J39" s="33">
        <f t="shared" si="20"/>
        <v>0</v>
      </c>
      <c r="K39" s="33">
        <f t="shared" si="20"/>
        <v>0</v>
      </c>
      <c r="L39" s="33">
        <f t="shared" si="20"/>
        <v>0</v>
      </c>
      <c r="M39" s="33">
        <f t="shared" si="20"/>
        <v>0</v>
      </c>
      <c r="N39" s="33">
        <f t="shared" si="20"/>
        <v>0</v>
      </c>
      <c r="O39" s="33">
        <f t="shared" si="20"/>
        <v>10.46875</v>
      </c>
      <c r="P39" s="33">
        <f t="shared" si="20"/>
        <v>10.46875</v>
      </c>
      <c r="Q39" s="33">
        <f t="shared" si="20"/>
        <v>10.46875</v>
      </c>
      <c r="R39" s="33">
        <f t="shared" si="20"/>
        <v>10.46875</v>
      </c>
      <c r="S39" s="33">
        <f t="shared" si="20"/>
        <v>10.46875</v>
      </c>
      <c r="T39" s="33">
        <f t="shared" si="20"/>
        <v>10.46875</v>
      </c>
      <c r="U39" s="33">
        <f t="shared" si="20"/>
        <v>10.46875</v>
      </c>
      <c r="V39" s="33">
        <f t="shared" si="20"/>
        <v>10.46875</v>
      </c>
    </row>
    <row r="40" spans="1:23">
      <c r="A40">
        <v>2024</v>
      </c>
      <c r="B40" t="s">
        <v>293</v>
      </c>
      <c r="O40">
        <f>(5*60)/8</f>
        <v>37.5</v>
      </c>
      <c r="P40">
        <f t="shared" si="19"/>
        <v>37.5</v>
      </c>
      <c r="Q40">
        <f t="shared" si="19"/>
        <v>37.5</v>
      </c>
      <c r="R40">
        <f t="shared" si="19"/>
        <v>37.5</v>
      </c>
      <c r="S40">
        <f t="shared" si="19"/>
        <v>37.5</v>
      </c>
      <c r="T40">
        <f t="shared" si="19"/>
        <v>37.5</v>
      </c>
      <c r="U40">
        <f t="shared" si="19"/>
        <v>37.5</v>
      </c>
      <c r="V40">
        <f t="shared" si="19"/>
        <v>37.5</v>
      </c>
    </row>
    <row r="41" spans="1:23">
      <c r="A41" s="32">
        <v>2024</v>
      </c>
      <c r="B41" s="32" t="s">
        <v>294</v>
      </c>
      <c r="C41" s="33">
        <f t="shared" ref="C41:V41" si="21">C40*$Z$6</f>
        <v>0</v>
      </c>
      <c r="D41" s="33">
        <f t="shared" si="21"/>
        <v>0</v>
      </c>
      <c r="E41" s="33">
        <f t="shared" si="21"/>
        <v>0</v>
      </c>
      <c r="F41" s="33">
        <f t="shared" si="21"/>
        <v>0</v>
      </c>
      <c r="G41" s="33">
        <f t="shared" si="21"/>
        <v>0</v>
      </c>
      <c r="H41" s="33">
        <f t="shared" si="21"/>
        <v>0</v>
      </c>
      <c r="I41" s="33">
        <f t="shared" si="21"/>
        <v>0</v>
      </c>
      <c r="J41" s="33">
        <f t="shared" si="21"/>
        <v>0</v>
      </c>
      <c r="K41" s="33">
        <f t="shared" si="21"/>
        <v>0</v>
      </c>
      <c r="L41" s="33">
        <f t="shared" si="21"/>
        <v>0</v>
      </c>
      <c r="M41" s="33">
        <f t="shared" si="21"/>
        <v>0</v>
      </c>
      <c r="N41" s="33">
        <f t="shared" si="21"/>
        <v>0</v>
      </c>
      <c r="O41" s="33">
        <f t="shared" si="21"/>
        <v>10.875</v>
      </c>
      <c r="P41" s="33">
        <f t="shared" si="21"/>
        <v>10.875</v>
      </c>
      <c r="Q41" s="33">
        <f t="shared" si="21"/>
        <v>10.875</v>
      </c>
      <c r="R41" s="33">
        <f t="shared" si="21"/>
        <v>10.875</v>
      </c>
      <c r="S41" s="33">
        <f t="shared" si="21"/>
        <v>10.875</v>
      </c>
      <c r="T41" s="33">
        <f t="shared" si="21"/>
        <v>10.875</v>
      </c>
      <c r="U41" s="33">
        <f t="shared" si="21"/>
        <v>10.875</v>
      </c>
      <c r="V41" s="33">
        <f t="shared" si="21"/>
        <v>10.875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ECE72-39C7-4296-BEA0-4B5A33675F8D}">
  <dimension ref="A1:S64"/>
  <sheetViews>
    <sheetView workbookViewId="0">
      <selection activeCell="I15" sqref="I15"/>
    </sheetView>
  </sheetViews>
  <sheetFormatPr defaultRowHeight="15"/>
  <cols>
    <col min="1" max="1" width="23.5703125" bestFit="1" customWidth="1"/>
    <col min="2" max="2" width="48.85546875" bestFit="1" customWidth="1"/>
    <col min="7" max="7" width="12.42578125" bestFit="1" customWidth="1"/>
    <col min="8" max="8" width="13.140625" bestFit="1" customWidth="1"/>
    <col min="9" max="9" width="16.140625" bestFit="1" customWidth="1"/>
    <col min="10" max="10" width="18" bestFit="1" customWidth="1"/>
    <col min="11" max="11" width="18" customWidth="1"/>
    <col min="12" max="12" width="29.140625" bestFit="1" customWidth="1"/>
    <col min="13" max="13" width="103.5703125" bestFit="1" customWidth="1"/>
  </cols>
  <sheetData>
    <row r="1" spans="1:19">
      <c r="A1" s="5" t="s">
        <v>316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>
      <c r="A2" s="5" t="s">
        <v>36</v>
      </c>
      <c r="B2" s="5" t="s">
        <v>42</v>
      </c>
      <c r="C2" s="5" t="s">
        <v>1</v>
      </c>
      <c r="D2" s="5" t="s">
        <v>38</v>
      </c>
      <c r="E2" s="5" t="s">
        <v>39</v>
      </c>
      <c r="F2" s="5" t="s">
        <v>41</v>
      </c>
      <c r="G2" s="5" t="s">
        <v>231</v>
      </c>
      <c r="H2" s="5" t="s">
        <v>232</v>
      </c>
      <c r="I2" s="5" t="s">
        <v>233</v>
      </c>
      <c r="J2" s="5" t="s">
        <v>234</v>
      </c>
      <c r="K2" s="5" t="s">
        <v>358</v>
      </c>
      <c r="L2" s="5" t="s">
        <v>52</v>
      </c>
      <c r="M2" s="5" t="s">
        <v>140</v>
      </c>
      <c r="O2" s="2"/>
      <c r="P2" s="2"/>
      <c r="Q2" s="2"/>
      <c r="R2" s="2"/>
      <c r="S2" s="2"/>
    </row>
    <row r="3" spans="1:19">
      <c r="A3" t="s">
        <v>45</v>
      </c>
      <c r="B3" t="s">
        <v>49</v>
      </c>
      <c r="C3">
        <v>2022</v>
      </c>
      <c r="D3">
        <v>20</v>
      </c>
      <c r="E3" t="s">
        <v>40</v>
      </c>
      <c r="F3" s="18">
        <f t="shared" ref="F3:F11" si="0">D3*453.59237</f>
        <v>9071.8474000000006</v>
      </c>
      <c r="G3" s="3">
        <v>20</v>
      </c>
      <c r="H3" s="3">
        <v>61.7</v>
      </c>
      <c r="I3" s="3">
        <f>AVERAGE(G3:H3)</f>
        <v>40.85</v>
      </c>
      <c r="J3" s="3">
        <f>I3/F3</f>
        <v>4.502941705126124E-3</v>
      </c>
      <c r="K3" s="69">
        <f>J3*1000</f>
        <v>4.5029417051261245</v>
      </c>
      <c r="L3" t="s">
        <v>53</v>
      </c>
      <c r="M3" s="3" t="s">
        <v>141</v>
      </c>
      <c r="R3" s="4"/>
      <c r="S3" s="4"/>
    </row>
    <row r="4" spans="1:19">
      <c r="A4" t="s">
        <v>45</v>
      </c>
      <c r="B4" t="s">
        <v>49</v>
      </c>
      <c r="C4">
        <v>2023</v>
      </c>
      <c r="D4">
        <v>20</v>
      </c>
      <c r="E4" t="s">
        <v>40</v>
      </c>
      <c r="F4" s="18">
        <f t="shared" si="0"/>
        <v>9071.8474000000006</v>
      </c>
      <c r="G4" s="3">
        <v>28</v>
      </c>
      <c r="H4" s="3">
        <v>58.5</v>
      </c>
      <c r="I4" s="3">
        <f>AVERAGE(G4:H4)</f>
        <v>43.25</v>
      </c>
      <c r="J4" s="3">
        <f t="shared" ref="J4:J11" si="1">I4/F4</f>
        <v>4.7674964197479772E-3</v>
      </c>
      <c r="K4" s="69">
        <f t="shared" ref="K4:K11" si="2">J4*1000</f>
        <v>4.7674964197479772</v>
      </c>
      <c r="L4" t="s">
        <v>53</v>
      </c>
      <c r="M4" s="3"/>
      <c r="R4" s="4"/>
      <c r="S4" s="4"/>
    </row>
    <row r="5" spans="1:19">
      <c r="A5" t="s">
        <v>45</v>
      </c>
      <c r="B5" t="s">
        <v>49</v>
      </c>
      <c r="C5">
        <v>2024</v>
      </c>
      <c r="D5">
        <v>20</v>
      </c>
      <c r="E5" t="s">
        <v>40</v>
      </c>
      <c r="F5" s="18">
        <f t="shared" si="0"/>
        <v>9071.8474000000006</v>
      </c>
      <c r="G5" s="3">
        <v>32</v>
      </c>
      <c r="H5" s="3">
        <v>57</v>
      </c>
      <c r="I5" s="3">
        <f>AVERAGE(G5:H5)</f>
        <v>44.5</v>
      </c>
      <c r="J5" s="3">
        <f t="shared" si="1"/>
        <v>4.9052853336135262E-3</v>
      </c>
      <c r="K5" s="69">
        <f t="shared" si="2"/>
        <v>4.9052853336135263</v>
      </c>
      <c r="L5" t="s">
        <v>53</v>
      </c>
      <c r="M5" s="3"/>
      <c r="R5" s="4"/>
      <c r="S5" s="4"/>
    </row>
    <row r="6" spans="1:19">
      <c r="A6" t="s">
        <v>46</v>
      </c>
      <c r="B6" t="s">
        <v>222</v>
      </c>
      <c r="C6">
        <v>2022</v>
      </c>
      <c r="D6">
        <v>50</v>
      </c>
      <c r="E6" t="s">
        <v>40</v>
      </c>
      <c r="F6" s="18">
        <f t="shared" si="0"/>
        <v>22679.6185</v>
      </c>
      <c r="G6" s="3">
        <v>35.75</v>
      </c>
      <c r="H6" s="3">
        <v>45</v>
      </c>
      <c r="I6" s="3">
        <f>AVERAGE(G6:H6)</f>
        <v>40.375</v>
      </c>
      <c r="J6" s="3">
        <f t="shared" si="1"/>
        <v>1.7802327671428864E-3</v>
      </c>
      <c r="K6" s="69">
        <f t="shared" si="2"/>
        <v>1.7802327671428864</v>
      </c>
      <c r="L6" t="s">
        <v>53</v>
      </c>
      <c r="M6" s="3" t="s">
        <v>225</v>
      </c>
      <c r="R6" s="4"/>
      <c r="S6" s="4"/>
    </row>
    <row r="7" spans="1:19">
      <c r="A7" t="s">
        <v>46</v>
      </c>
      <c r="B7" t="s">
        <v>222</v>
      </c>
      <c r="C7">
        <v>2023</v>
      </c>
      <c r="D7">
        <v>50</v>
      </c>
      <c r="E7" t="s">
        <v>40</v>
      </c>
      <c r="F7" s="18">
        <f t="shared" si="0"/>
        <v>22679.6185</v>
      </c>
      <c r="G7" s="3">
        <v>43.5</v>
      </c>
      <c r="H7" s="3">
        <v>49.45</v>
      </c>
      <c r="I7" s="3">
        <f>AVERAGE(G7:H7)</f>
        <v>46.475000000000001</v>
      </c>
      <c r="J7" s="3">
        <f t="shared" si="1"/>
        <v>2.049196727008437E-3</v>
      </c>
      <c r="K7" s="69">
        <f>J7*1000</f>
        <v>2.0491967270084372</v>
      </c>
      <c r="L7" t="s">
        <v>53</v>
      </c>
      <c r="M7" s="3" t="s">
        <v>224</v>
      </c>
      <c r="R7" s="4"/>
      <c r="S7" s="4"/>
    </row>
    <row r="8" spans="1:19">
      <c r="A8" t="s">
        <v>46</v>
      </c>
      <c r="B8" t="s">
        <v>223</v>
      </c>
      <c r="C8">
        <v>2024</v>
      </c>
      <c r="D8">
        <v>48</v>
      </c>
      <c r="E8" t="s">
        <v>40</v>
      </c>
      <c r="F8" s="18">
        <f t="shared" si="0"/>
        <v>21772.43376</v>
      </c>
      <c r="G8" s="3">
        <v>28</v>
      </c>
      <c r="H8" s="3">
        <v>36.5</v>
      </c>
      <c r="I8" s="3">
        <f t="shared" ref="I8:I11" si="3">AVERAGE(G8:H8)</f>
        <v>32.25</v>
      </c>
      <c r="J8" s="3">
        <f t="shared" si="1"/>
        <v>1.4812308240546462E-3</v>
      </c>
      <c r="K8" s="69">
        <f t="shared" si="2"/>
        <v>1.4812308240546461</v>
      </c>
      <c r="L8" t="s">
        <v>53</v>
      </c>
      <c r="M8" s="3" t="s">
        <v>226</v>
      </c>
      <c r="R8" s="4"/>
      <c r="S8" s="4"/>
    </row>
    <row r="9" spans="1:19">
      <c r="A9" t="s">
        <v>47</v>
      </c>
      <c r="B9" t="s">
        <v>48</v>
      </c>
      <c r="C9">
        <v>2022</v>
      </c>
      <c r="D9">
        <v>20</v>
      </c>
      <c r="E9" t="s">
        <v>40</v>
      </c>
      <c r="F9" s="18">
        <f t="shared" si="0"/>
        <v>9071.8474000000006</v>
      </c>
      <c r="G9" s="3">
        <v>23.75</v>
      </c>
      <c r="H9" s="3">
        <v>29.95</v>
      </c>
      <c r="I9" s="3">
        <f t="shared" si="3"/>
        <v>26.85</v>
      </c>
      <c r="J9" s="3">
        <f t="shared" si="1"/>
        <v>2.9597058698319816E-3</v>
      </c>
      <c r="K9" s="69">
        <f t="shared" si="2"/>
        <v>2.9597058698319816</v>
      </c>
      <c r="L9" t="s">
        <v>53</v>
      </c>
      <c r="M9" s="3" t="s">
        <v>146</v>
      </c>
      <c r="R9" s="4"/>
      <c r="S9" s="4"/>
    </row>
    <row r="10" spans="1:19">
      <c r="A10" t="s">
        <v>47</v>
      </c>
      <c r="B10" t="s">
        <v>48</v>
      </c>
      <c r="C10">
        <v>2023</v>
      </c>
      <c r="D10">
        <v>20</v>
      </c>
      <c r="E10" t="s">
        <v>40</v>
      </c>
      <c r="F10" s="18">
        <f t="shared" si="0"/>
        <v>9071.8474000000006</v>
      </c>
      <c r="G10" s="3">
        <v>24</v>
      </c>
      <c r="H10" s="3">
        <v>36.299999999999997</v>
      </c>
      <c r="I10" s="3">
        <f>AVERAGE(G10:H10)</f>
        <v>30.15</v>
      </c>
      <c r="J10" s="3">
        <f t="shared" si="1"/>
        <v>3.3234686024370291E-3</v>
      </c>
      <c r="K10" s="69">
        <f t="shared" si="2"/>
        <v>3.3234686024370292</v>
      </c>
      <c r="L10" t="s">
        <v>53</v>
      </c>
      <c r="M10" s="3"/>
      <c r="R10" s="4"/>
      <c r="S10" s="4"/>
    </row>
    <row r="11" spans="1:19">
      <c r="A11" t="s">
        <v>47</v>
      </c>
      <c r="B11" t="s">
        <v>48</v>
      </c>
      <c r="C11">
        <v>2024</v>
      </c>
      <c r="D11">
        <v>20</v>
      </c>
      <c r="E11" t="s">
        <v>40</v>
      </c>
      <c r="F11" s="18">
        <f t="shared" si="0"/>
        <v>9071.8474000000006</v>
      </c>
      <c r="G11" s="3">
        <f>AVERAGE(G9:G10)</f>
        <v>23.875</v>
      </c>
      <c r="H11" s="3">
        <f>AVERAGE(H9:H10)</f>
        <v>33.125</v>
      </c>
      <c r="I11" s="3">
        <f t="shared" si="3"/>
        <v>28.5</v>
      </c>
      <c r="J11" s="3">
        <f t="shared" si="1"/>
        <v>3.1415872361345051E-3</v>
      </c>
      <c r="K11" s="69">
        <f t="shared" si="2"/>
        <v>3.1415872361345052</v>
      </c>
      <c r="L11" t="s">
        <v>53</v>
      </c>
      <c r="M11" s="3"/>
      <c r="R11" s="4"/>
      <c r="S11" s="4"/>
    </row>
    <row r="12" spans="1:19">
      <c r="G12" s="3"/>
      <c r="H12" s="3"/>
      <c r="I12" s="3"/>
      <c r="J12" s="3"/>
      <c r="K12" s="3"/>
      <c r="M12" s="3"/>
      <c r="R12" s="4"/>
      <c r="S12" s="4"/>
    </row>
    <row r="13" spans="1:19">
      <c r="A13" s="5" t="s">
        <v>317</v>
      </c>
      <c r="B13" s="6"/>
      <c r="C13" s="6"/>
      <c r="D13" s="6"/>
      <c r="E13" s="6"/>
      <c r="F13" s="6"/>
      <c r="G13" s="64"/>
      <c r="H13" s="64"/>
      <c r="I13" s="64"/>
      <c r="J13" s="64"/>
      <c r="K13" s="64"/>
      <c r="L13" s="6"/>
      <c r="M13" s="64"/>
      <c r="R13" s="4"/>
      <c r="S13" s="4"/>
    </row>
    <row r="14" spans="1:19">
      <c r="A14" s="5" t="s">
        <v>51</v>
      </c>
      <c r="B14" s="5" t="s">
        <v>42</v>
      </c>
      <c r="C14" s="5" t="s">
        <v>1</v>
      </c>
      <c r="D14" s="5" t="s">
        <v>38</v>
      </c>
      <c r="E14" s="5" t="s">
        <v>39</v>
      </c>
      <c r="F14" s="5" t="s">
        <v>41</v>
      </c>
      <c r="G14" s="5" t="s">
        <v>231</v>
      </c>
      <c r="H14" s="5" t="s">
        <v>232</v>
      </c>
      <c r="I14" s="5" t="s">
        <v>233</v>
      </c>
      <c r="J14" s="5" t="s">
        <v>234</v>
      </c>
      <c r="K14" s="5"/>
      <c r="L14" s="6"/>
      <c r="M14" s="5"/>
      <c r="R14" s="3"/>
      <c r="S14" s="4"/>
    </row>
    <row r="15" spans="1:19">
      <c r="A15" t="s">
        <v>37</v>
      </c>
      <c r="B15" t="s">
        <v>328</v>
      </c>
      <c r="C15">
        <v>2022</v>
      </c>
      <c r="D15">
        <v>20</v>
      </c>
      <c r="E15" t="s">
        <v>40</v>
      </c>
      <c r="F15" s="18">
        <f t="shared" ref="F15:F23" si="4">D15*453.59237</f>
        <v>9071.8474000000006</v>
      </c>
      <c r="G15" s="3" t="s">
        <v>6</v>
      </c>
      <c r="H15" s="3" t="s">
        <v>6</v>
      </c>
      <c r="I15" s="3">
        <v>65.400000000000006</v>
      </c>
      <c r="J15" s="3">
        <f t="shared" ref="J15:J23" si="5">I15/F15</f>
        <v>7.2091159734454973E-3</v>
      </c>
      <c r="K15" s="69">
        <f>J15*1000</f>
        <v>7.2091159734454973</v>
      </c>
      <c r="L15" t="s">
        <v>137</v>
      </c>
      <c r="M15" s="3" t="s">
        <v>142</v>
      </c>
      <c r="R15" s="4"/>
      <c r="S15" s="4"/>
    </row>
    <row r="16" spans="1:19">
      <c r="A16" t="s">
        <v>37</v>
      </c>
      <c r="B16" t="s">
        <v>328</v>
      </c>
      <c r="C16">
        <v>2023</v>
      </c>
      <c r="D16">
        <v>20</v>
      </c>
      <c r="E16" t="s">
        <v>40</v>
      </c>
      <c r="F16" s="18">
        <f t="shared" si="4"/>
        <v>9071.8474000000006</v>
      </c>
      <c r="G16" s="3" t="s">
        <v>6</v>
      </c>
      <c r="H16" s="3" t="s">
        <v>6</v>
      </c>
      <c r="I16" s="3">
        <v>71.5</v>
      </c>
      <c r="J16" s="3">
        <f t="shared" si="5"/>
        <v>7.8815258731093733E-3</v>
      </c>
      <c r="K16" s="69">
        <f t="shared" ref="K16:K23" si="6">J16*1000</f>
        <v>7.8815258731093731</v>
      </c>
      <c r="L16" t="s">
        <v>139</v>
      </c>
      <c r="M16" s="3" t="s">
        <v>143</v>
      </c>
      <c r="R16" s="4"/>
      <c r="S16" s="4"/>
    </row>
    <row r="17" spans="1:19">
      <c r="A17" t="s">
        <v>37</v>
      </c>
      <c r="B17" t="s">
        <v>328</v>
      </c>
      <c r="C17">
        <v>2024</v>
      </c>
      <c r="D17">
        <v>20</v>
      </c>
      <c r="E17" t="s">
        <v>40</v>
      </c>
      <c r="F17" s="18">
        <f t="shared" si="4"/>
        <v>9071.8474000000006</v>
      </c>
      <c r="G17" s="3" t="s">
        <v>6</v>
      </c>
      <c r="H17" s="3" t="s">
        <v>6</v>
      </c>
      <c r="I17" s="3">
        <v>59.8</v>
      </c>
      <c r="J17" s="3">
        <f t="shared" si="5"/>
        <v>6.5918216393278392E-3</v>
      </c>
      <c r="K17" s="69">
        <f t="shared" si="6"/>
        <v>6.591821639327839</v>
      </c>
      <c r="L17" t="s">
        <v>138</v>
      </c>
      <c r="M17" s="3" t="s">
        <v>142</v>
      </c>
      <c r="R17" s="4"/>
      <c r="S17" s="4"/>
    </row>
    <row r="18" spans="1:19">
      <c r="A18" t="s">
        <v>43</v>
      </c>
      <c r="B18" t="s">
        <v>329</v>
      </c>
      <c r="C18">
        <v>2022</v>
      </c>
      <c r="D18">
        <v>25</v>
      </c>
      <c r="E18" t="s">
        <v>40</v>
      </c>
      <c r="F18" s="18">
        <f t="shared" si="4"/>
        <v>11339.80925</v>
      </c>
      <c r="G18" s="3" t="s">
        <v>6</v>
      </c>
      <c r="H18" s="3" t="s">
        <v>6</v>
      </c>
      <c r="I18" s="3">
        <v>52.1</v>
      </c>
      <c r="J18" s="3">
        <f t="shared" si="5"/>
        <v>4.5944335439328486E-3</v>
      </c>
      <c r="K18" s="69">
        <f t="shared" si="6"/>
        <v>4.5944335439328485</v>
      </c>
      <c r="L18" t="s">
        <v>137</v>
      </c>
      <c r="M18" s="3" t="s">
        <v>227</v>
      </c>
      <c r="R18" s="4"/>
      <c r="S18" s="4"/>
    </row>
    <row r="19" spans="1:19">
      <c r="A19" t="s">
        <v>43</v>
      </c>
      <c r="B19" t="s">
        <v>329</v>
      </c>
      <c r="C19">
        <v>2023</v>
      </c>
      <c r="D19">
        <v>25</v>
      </c>
      <c r="E19" t="s">
        <v>40</v>
      </c>
      <c r="F19" s="18">
        <f t="shared" si="4"/>
        <v>11339.80925</v>
      </c>
      <c r="G19" s="3" t="s">
        <v>6</v>
      </c>
      <c r="H19" s="3" t="s">
        <v>6</v>
      </c>
      <c r="I19" s="3">
        <v>58.8</v>
      </c>
      <c r="J19" s="3">
        <f t="shared" si="5"/>
        <v>5.1852724065883206E-3</v>
      </c>
      <c r="K19" s="69">
        <f t="shared" si="6"/>
        <v>5.1852724065883207</v>
      </c>
      <c r="L19" t="s">
        <v>139</v>
      </c>
      <c r="M19" s="3" t="s">
        <v>228</v>
      </c>
      <c r="R19" s="4"/>
      <c r="S19" s="4"/>
    </row>
    <row r="20" spans="1:19">
      <c r="A20" t="s">
        <v>43</v>
      </c>
      <c r="B20" t="s">
        <v>330</v>
      </c>
      <c r="C20">
        <v>2024</v>
      </c>
      <c r="D20">
        <v>25</v>
      </c>
      <c r="E20" t="s">
        <v>40</v>
      </c>
      <c r="F20" s="18">
        <f t="shared" si="4"/>
        <v>11339.80925</v>
      </c>
      <c r="G20" s="3" t="s">
        <v>6</v>
      </c>
      <c r="H20" s="3" t="s">
        <v>6</v>
      </c>
      <c r="I20" s="3">
        <v>58.1</v>
      </c>
      <c r="J20" s="3">
        <f t="shared" si="5"/>
        <v>5.123542973176555E-3</v>
      </c>
      <c r="K20" s="69">
        <f t="shared" si="6"/>
        <v>5.1235429731765549</v>
      </c>
      <c r="L20" t="s">
        <v>138</v>
      </c>
      <c r="M20" s="3" t="s">
        <v>229</v>
      </c>
      <c r="R20" s="4"/>
      <c r="S20" s="4"/>
    </row>
    <row r="21" spans="1:19">
      <c r="A21" t="s">
        <v>44</v>
      </c>
      <c r="B21" t="s">
        <v>331</v>
      </c>
      <c r="C21">
        <v>2022</v>
      </c>
      <c r="D21">
        <v>20</v>
      </c>
      <c r="E21" t="s">
        <v>40</v>
      </c>
      <c r="F21" s="18">
        <f t="shared" si="4"/>
        <v>9071.8474000000006</v>
      </c>
      <c r="G21" s="3" t="s">
        <v>6</v>
      </c>
      <c r="H21" s="3" t="s">
        <v>6</v>
      </c>
      <c r="I21" s="3">
        <v>64.2</v>
      </c>
      <c r="J21" s="3">
        <f t="shared" si="5"/>
        <v>7.0768386161345698E-3</v>
      </c>
      <c r="K21" s="69">
        <f t="shared" si="6"/>
        <v>7.0768386161345695</v>
      </c>
      <c r="L21" t="s">
        <v>137</v>
      </c>
      <c r="M21" s="3" t="s">
        <v>144</v>
      </c>
      <c r="R21" s="4"/>
      <c r="S21" s="4"/>
    </row>
    <row r="22" spans="1:19">
      <c r="A22" t="s">
        <v>44</v>
      </c>
      <c r="B22" t="s">
        <v>331</v>
      </c>
      <c r="C22">
        <v>2023</v>
      </c>
      <c r="D22">
        <v>20</v>
      </c>
      <c r="E22" t="s">
        <v>40</v>
      </c>
      <c r="F22" s="18">
        <f t="shared" si="4"/>
        <v>9071.8474000000006</v>
      </c>
      <c r="G22" s="3" t="s">
        <v>6</v>
      </c>
      <c r="H22" s="3" t="s">
        <v>6</v>
      </c>
      <c r="I22" s="3">
        <v>68.400000000000006</v>
      </c>
      <c r="J22" s="3">
        <f t="shared" si="5"/>
        <v>7.5398093667228133E-3</v>
      </c>
      <c r="K22" s="69">
        <f t="shared" si="6"/>
        <v>7.539809366722813</v>
      </c>
      <c r="L22" t="s">
        <v>139</v>
      </c>
      <c r="M22" s="3" t="s">
        <v>145</v>
      </c>
      <c r="R22" s="4"/>
      <c r="S22" s="4"/>
    </row>
    <row r="23" spans="1:19">
      <c r="A23" t="s">
        <v>44</v>
      </c>
      <c r="B23" t="s">
        <v>331</v>
      </c>
      <c r="C23">
        <v>2024</v>
      </c>
      <c r="D23">
        <v>20</v>
      </c>
      <c r="E23" t="s">
        <v>40</v>
      </c>
      <c r="F23" s="18">
        <f t="shared" si="4"/>
        <v>9071.8474000000006</v>
      </c>
      <c r="G23" s="3" t="s">
        <v>6</v>
      </c>
      <c r="H23" s="3" t="s">
        <v>6</v>
      </c>
      <c r="I23" s="3">
        <v>57.2</v>
      </c>
      <c r="J23" s="3">
        <f t="shared" si="5"/>
        <v>6.305220698487499E-3</v>
      </c>
      <c r="K23" s="69">
        <f t="shared" si="6"/>
        <v>6.3052206984874992</v>
      </c>
      <c r="L23" t="s">
        <v>138</v>
      </c>
      <c r="M23" s="3" t="s">
        <v>144</v>
      </c>
      <c r="R23" s="4"/>
      <c r="S23" s="4"/>
    </row>
    <row r="24" spans="1:19">
      <c r="R24" s="4"/>
      <c r="S24" s="4"/>
    </row>
    <row r="25" spans="1:19">
      <c r="A25" s="5" t="s">
        <v>318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R25" s="4"/>
      <c r="S25" s="4"/>
    </row>
    <row r="26" spans="1:19">
      <c r="A26" s="5" t="s">
        <v>36</v>
      </c>
      <c r="B26" s="5" t="s">
        <v>42</v>
      </c>
      <c r="C26" s="5" t="s">
        <v>1</v>
      </c>
      <c r="D26" s="5" t="s">
        <v>38</v>
      </c>
      <c r="E26" s="5" t="s">
        <v>39</v>
      </c>
      <c r="F26" s="5" t="s">
        <v>41</v>
      </c>
      <c r="G26" s="5" t="s">
        <v>231</v>
      </c>
      <c r="H26" s="5" t="s">
        <v>232</v>
      </c>
      <c r="I26" s="5" t="s">
        <v>233</v>
      </c>
      <c r="J26" s="5" t="s">
        <v>234</v>
      </c>
      <c r="K26" s="5"/>
      <c r="L26" s="5" t="s">
        <v>52</v>
      </c>
      <c r="M26" s="5" t="s">
        <v>140</v>
      </c>
      <c r="R26" s="4"/>
      <c r="S26" s="4"/>
    </row>
    <row r="27" spans="1:19">
      <c r="A27" t="s">
        <v>298</v>
      </c>
      <c r="B27" t="s">
        <v>296</v>
      </c>
      <c r="C27">
        <v>2022</v>
      </c>
      <c r="D27" s="61">
        <v>1</v>
      </c>
      <c r="E27" t="s">
        <v>40</v>
      </c>
      <c r="F27" s="18">
        <f>D27*453.59237</f>
        <v>453.59237000000002</v>
      </c>
      <c r="G27" s="24"/>
      <c r="H27" s="24"/>
      <c r="I27" s="24">
        <f>(I3*1.7)/20</f>
        <v>3.4722500000000003</v>
      </c>
      <c r="J27" s="3">
        <f>I27/F27</f>
        <v>7.6550008987144123E-3</v>
      </c>
      <c r="K27" s="69">
        <f>J27*1000</f>
        <v>7.6550008987144125</v>
      </c>
      <c r="L27" s="67">
        <f>K3*1.7</f>
        <v>7.6550008987144116</v>
      </c>
      <c r="M27" s="3" t="s">
        <v>332</v>
      </c>
      <c r="R27" s="4"/>
      <c r="S27" s="4"/>
    </row>
    <row r="28" spans="1:19">
      <c r="A28" t="s">
        <v>298</v>
      </c>
      <c r="B28" t="s">
        <v>296</v>
      </c>
      <c r="C28">
        <v>2023</v>
      </c>
      <c r="D28" s="61">
        <v>1</v>
      </c>
      <c r="E28" t="s">
        <v>40</v>
      </c>
      <c r="F28" s="18">
        <f t="shared" ref="F28:F35" si="7">D28*453.59237</f>
        <v>453.59237000000002</v>
      </c>
      <c r="G28" s="24"/>
      <c r="H28" s="24"/>
      <c r="I28" s="24">
        <f t="shared" ref="I28:I35" si="8">(I4*1.7)/20</f>
        <v>3.6762499999999996</v>
      </c>
      <c r="J28" s="3">
        <f t="shared" ref="J28:J35" si="9">I28/F28</f>
        <v>8.1047439135715615E-3</v>
      </c>
      <c r="K28" s="69">
        <f t="shared" ref="K28:K35" si="10">J28*1000</f>
        <v>8.1047439135715607</v>
      </c>
      <c r="L28" s="67">
        <f t="shared" ref="L28:L35" si="11">K4*1.7</f>
        <v>8.1047439135715607</v>
      </c>
      <c r="M28" s="3"/>
      <c r="R28" s="4"/>
      <c r="S28" s="4"/>
    </row>
    <row r="29" spans="1:19">
      <c r="A29" t="s">
        <v>298</v>
      </c>
      <c r="B29" t="s">
        <v>296</v>
      </c>
      <c r="C29">
        <v>2024</v>
      </c>
      <c r="D29" s="61">
        <v>1</v>
      </c>
      <c r="E29" t="s">
        <v>40</v>
      </c>
      <c r="F29" s="18">
        <f t="shared" si="7"/>
        <v>453.59237000000002</v>
      </c>
      <c r="G29" s="24"/>
      <c r="H29" s="24"/>
      <c r="I29" s="24">
        <f>(I5*1.7)/20</f>
        <v>3.7824999999999998</v>
      </c>
      <c r="J29" s="3">
        <f t="shared" si="9"/>
        <v>8.3389850671429944E-3</v>
      </c>
      <c r="K29" s="69">
        <f>J29*1000</f>
        <v>8.3389850671429944</v>
      </c>
      <c r="L29" s="67">
        <f>K5*1.7</f>
        <v>8.3389850671429944</v>
      </c>
      <c r="M29" s="3"/>
      <c r="R29" s="4"/>
      <c r="S29" s="4"/>
    </row>
    <row r="30" spans="1:19">
      <c r="A30" t="s">
        <v>105</v>
      </c>
      <c r="B30" t="s">
        <v>296</v>
      </c>
      <c r="C30">
        <v>2022</v>
      </c>
      <c r="D30" s="61">
        <v>1</v>
      </c>
      <c r="E30" t="s">
        <v>40</v>
      </c>
      <c r="F30" s="18">
        <f t="shared" si="7"/>
        <v>453.59237000000002</v>
      </c>
      <c r="G30" s="24"/>
      <c r="H30" s="24"/>
      <c r="I30" s="24">
        <f>(I6*1.7)/50</f>
        <v>1.3727500000000001</v>
      </c>
      <c r="J30" s="3">
        <f t="shared" si="9"/>
        <v>3.026395704142907E-3</v>
      </c>
      <c r="K30" s="69">
        <f t="shared" si="10"/>
        <v>3.026395704142907</v>
      </c>
      <c r="L30" s="67">
        <f t="shared" si="11"/>
        <v>3.0263957041429066</v>
      </c>
      <c r="M30" s="3"/>
      <c r="R30" s="4"/>
      <c r="S30" s="4"/>
    </row>
    <row r="31" spans="1:19">
      <c r="A31" t="s">
        <v>105</v>
      </c>
      <c r="B31" t="s">
        <v>296</v>
      </c>
      <c r="C31">
        <v>2023</v>
      </c>
      <c r="D31" s="61">
        <v>1</v>
      </c>
      <c r="E31" t="s">
        <v>40</v>
      </c>
      <c r="F31" s="18">
        <f t="shared" si="7"/>
        <v>453.59237000000002</v>
      </c>
      <c r="G31" s="24"/>
      <c r="H31" s="24"/>
      <c r="I31" s="24">
        <f>(I7*1.7)/50</f>
        <v>1.5801500000000002</v>
      </c>
      <c r="J31" s="3">
        <f t="shared" si="9"/>
        <v>3.4836344359143435E-3</v>
      </c>
      <c r="K31" s="69">
        <f t="shared" si="10"/>
        <v>3.4836344359143436</v>
      </c>
      <c r="L31" s="67">
        <f t="shared" si="11"/>
        <v>3.4836344359143432</v>
      </c>
      <c r="M31" s="3"/>
      <c r="R31" s="4"/>
      <c r="S31" s="4"/>
    </row>
    <row r="32" spans="1:19">
      <c r="A32" t="s">
        <v>105</v>
      </c>
      <c r="B32" t="s">
        <v>296</v>
      </c>
      <c r="C32">
        <v>2024</v>
      </c>
      <c r="D32" s="61">
        <v>1</v>
      </c>
      <c r="E32" t="s">
        <v>40</v>
      </c>
      <c r="F32" s="18">
        <f>D32*453.59237</f>
        <v>453.59237000000002</v>
      </c>
      <c r="G32" s="24"/>
      <c r="H32" s="24"/>
      <c r="I32" s="24">
        <f>(I8*1.7)/48</f>
        <v>1.1421874999999999</v>
      </c>
      <c r="J32" s="3">
        <f>I32/F32</f>
        <v>2.5180924008928983E-3</v>
      </c>
      <c r="K32" s="69">
        <f>J32*1000</f>
        <v>2.5180924008928982</v>
      </c>
      <c r="L32" s="67">
        <f>K8*1.7</f>
        <v>2.5180924008928982</v>
      </c>
      <c r="M32" s="3"/>
      <c r="R32" s="4"/>
      <c r="S32" s="4"/>
    </row>
    <row r="33" spans="1:19">
      <c r="A33" t="s">
        <v>50</v>
      </c>
      <c r="B33" t="s">
        <v>296</v>
      </c>
      <c r="C33">
        <v>2022</v>
      </c>
      <c r="D33" s="61">
        <v>1</v>
      </c>
      <c r="E33" t="s">
        <v>40</v>
      </c>
      <c r="F33" s="18">
        <f t="shared" si="7"/>
        <v>453.59237000000002</v>
      </c>
      <c r="G33" s="24"/>
      <c r="H33" s="24"/>
      <c r="I33" s="24">
        <f t="shared" si="8"/>
        <v>2.2822500000000003</v>
      </c>
      <c r="J33" s="3">
        <f t="shared" si="9"/>
        <v>5.0314999787143691E-3</v>
      </c>
      <c r="K33" s="69">
        <f t="shared" si="10"/>
        <v>5.0314999787143693</v>
      </c>
      <c r="L33" s="67">
        <f t="shared" si="11"/>
        <v>5.0314999787143684</v>
      </c>
      <c r="M33" s="3"/>
      <c r="R33" s="4"/>
      <c r="S33" s="4"/>
    </row>
    <row r="34" spans="1:19">
      <c r="A34" t="s">
        <v>50</v>
      </c>
      <c r="B34" t="s">
        <v>296</v>
      </c>
      <c r="C34">
        <v>2023</v>
      </c>
      <c r="D34" s="61">
        <v>1</v>
      </c>
      <c r="E34" t="s">
        <v>40</v>
      </c>
      <c r="F34" s="18">
        <f t="shared" si="7"/>
        <v>453.59237000000002</v>
      </c>
      <c r="G34" s="24"/>
      <c r="H34" s="24"/>
      <c r="I34" s="24">
        <f t="shared" si="8"/>
        <v>2.5627499999999999</v>
      </c>
      <c r="J34" s="3">
        <f t="shared" si="9"/>
        <v>5.6498966241429497E-3</v>
      </c>
      <c r="K34" s="69">
        <f t="shared" si="10"/>
        <v>5.6498966241429498</v>
      </c>
      <c r="L34" s="67">
        <f t="shared" si="11"/>
        <v>5.6498966241429498</v>
      </c>
      <c r="M34" s="3"/>
      <c r="R34" s="4"/>
      <c r="S34" s="4"/>
    </row>
    <row r="35" spans="1:19">
      <c r="A35" t="s">
        <v>50</v>
      </c>
      <c r="B35" t="s">
        <v>296</v>
      </c>
      <c r="C35">
        <v>2024</v>
      </c>
      <c r="D35" s="61">
        <v>1</v>
      </c>
      <c r="E35" t="s">
        <v>40</v>
      </c>
      <c r="F35" s="18">
        <f t="shared" si="7"/>
        <v>453.59237000000002</v>
      </c>
      <c r="G35" s="24"/>
      <c r="H35" s="24"/>
      <c r="I35" s="24">
        <f t="shared" si="8"/>
        <v>2.4224999999999999</v>
      </c>
      <c r="J35" s="3">
        <f t="shared" si="9"/>
        <v>5.3406983014286586E-3</v>
      </c>
      <c r="K35" s="69">
        <f t="shared" si="10"/>
        <v>5.3406983014286586</v>
      </c>
      <c r="L35" s="67">
        <f t="shared" si="11"/>
        <v>5.3406983014286586</v>
      </c>
      <c r="M35" s="3"/>
      <c r="R35" s="4"/>
      <c r="S35" s="4"/>
    </row>
    <row r="36" spans="1:19">
      <c r="R36" s="4"/>
      <c r="S36" s="4"/>
    </row>
    <row r="37" spans="1:19">
      <c r="A37" s="5" t="s">
        <v>319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R37" s="4"/>
      <c r="S37" s="4"/>
    </row>
    <row r="38" spans="1:19">
      <c r="A38" s="5" t="s">
        <v>297</v>
      </c>
      <c r="B38" s="5" t="s">
        <v>42</v>
      </c>
      <c r="C38" s="5" t="s">
        <v>1</v>
      </c>
      <c r="D38" s="5" t="s">
        <v>38</v>
      </c>
      <c r="E38" s="5" t="s">
        <v>39</v>
      </c>
      <c r="F38" s="5" t="s">
        <v>41</v>
      </c>
      <c r="G38" s="5" t="s">
        <v>231</v>
      </c>
      <c r="H38" s="5" t="s">
        <v>232</v>
      </c>
      <c r="I38" s="5" t="s">
        <v>233</v>
      </c>
      <c r="J38" s="5" t="s">
        <v>234</v>
      </c>
      <c r="K38" s="5"/>
      <c r="L38" s="5" t="s">
        <v>52</v>
      </c>
      <c r="M38" s="5" t="s">
        <v>140</v>
      </c>
      <c r="R38" s="4"/>
      <c r="S38" s="4"/>
    </row>
    <row r="39" spans="1:19">
      <c r="A39" t="s">
        <v>298</v>
      </c>
      <c r="B39" t="s">
        <v>299</v>
      </c>
      <c r="C39">
        <v>2022</v>
      </c>
      <c r="D39" s="61">
        <v>1</v>
      </c>
      <c r="E39" t="s">
        <v>40</v>
      </c>
      <c r="F39" s="18">
        <f t="shared" ref="F39:F47" si="12">D39*453.59237</f>
        <v>453.59237000000002</v>
      </c>
      <c r="G39" s="24"/>
      <c r="H39" s="24"/>
      <c r="I39" s="24">
        <f>(I15*1.8)/D15</f>
        <v>5.886000000000001</v>
      </c>
      <c r="J39" s="3">
        <f t="shared" ref="J39:J47" si="13">I39/F39</f>
        <v>1.2976408752201896E-2</v>
      </c>
      <c r="K39" s="69">
        <f>J39*1000</f>
        <v>12.976408752201896</v>
      </c>
      <c r="L39" s="67">
        <f>K15*1.8</f>
        <v>12.976408752201895</v>
      </c>
      <c r="M39" s="3" t="s">
        <v>333</v>
      </c>
      <c r="R39" s="4"/>
      <c r="S39" s="4"/>
    </row>
    <row r="40" spans="1:19">
      <c r="A40" t="s">
        <v>298</v>
      </c>
      <c r="B40" t="s">
        <v>299</v>
      </c>
      <c r="C40">
        <v>2023</v>
      </c>
      <c r="D40" s="61">
        <v>1</v>
      </c>
      <c r="E40" t="s">
        <v>40</v>
      </c>
      <c r="F40" s="18">
        <f t="shared" si="12"/>
        <v>453.59237000000002</v>
      </c>
      <c r="G40" s="24"/>
      <c r="H40" s="24"/>
      <c r="I40" s="24">
        <f t="shared" ref="I40:I47" si="14">(I16*1.8)/D16</f>
        <v>6.4350000000000005</v>
      </c>
      <c r="J40" s="3">
        <f t="shared" si="13"/>
        <v>1.4186746571596872E-2</v>
      </c>
      <c r="K40" s="69">
        <f t="shared" ref="K40:K47" si="15">J40*1000</f>
        <v>14.186746571596872</v>
      </c>
      <c r="L40" s="67">
        <f t="shared" ref="L40:L47" si="16">K16*1.8</f>
        <v>14.186746571596872</v>
      </c>
      <c r="M40" s="3"/>
      <c r="R40" s="4"/>
      <c r="S40" s="4"/>
    </row>
    <row r="41" spans="1:19">
      <c r="A41" t="s">
        <v>298</v>
      </c>
      <c r="B41" t="s">
        <v>299</v>
      </c>
      <c r="C41">
        <v>2024</v>
      </c>
      <c r="D41" s="61">
        <v>1</v>
      </c>
      <c r="E41" t="s">
        <v>40</v>
      </c>
      <c r="F41" s="18">
        <f t="shared" si="12"/>
        <v>453.59237000000002</v>
      </c>
      <c r="G41" s="24"/>
      <c r="H41" s="24"/>
      <c r="I41" s="24">
        <f t="shared" si="14"/>
        <v>5.3819999999999997</v>
      </c>
      <c r="J41" s="3">
        <f t="shared" si="13"/>
        <v>1.186527895079011E-2</v>
      </c>
      <c r="K41" s="69">
        <f t="shared" si="15"/>
        <v>11.86527895079011</v>
      </c>
      <c r="L41" s="67">
        <f t="shared" si="16"/>
        <v>11.86527895079011</v>
      </c>
      <c r="M41" s="3"/>
      <c r="R41" s="4"/>
      <c r="S41" s="4"/>
    </row>
    <row r="42" spans="1:19">
      <c r="A42" t="s">
        <v>105</v>
      </c>
      <c r="B42" t="s">
        <v>299</v>
      </c>
      <c r="C42">
        <v>2022</v>
      </c>
      <c r="D42" s="61">
        <v>1</v>
      </c>
      <c r="E42" t="s">
        <v>40</v>
      </c>
      <c r="F42" s="18">
        <f t="shared" si="12"/>
        <v>453.59237000000002</v>
      </c>
      <c r="G42" s="24"/>
      <c r="H42" s="24"/>
      <c r="I42" s="24">
        <f t="shared" si="14"/>
        <v>3.7511999999999999</v>
      </c>
      <c r="J42" s="3">
        <f t="shared" si="13"/>
        <v>8.2699803790791272E-3</v>
      </c>
      <c r="K42" s="69">
        <f t="shared" si="15"/>
        <v>8.2699803790791275</v>
      </c>
      <c r="L42" s="67">
        <f t="shared" si="16"/>
        <v>8.2699803790791275</v>
      </c>
      <c r="M42" s="3"/>
      <c r="R42" s="4"/>
      <c r="S42" s="4"/>
    </row>
    <row r="43" spans="1:19">
      <c r="A43" t="s">
        <v>105</v>
      </c>
      <c r="B43" t="s">
        <v>299</v>
      </c>
      <c r="C43">
        <v>2023</v>
      </c>
      <c r="D43" s="61">
        <v>1</v>
      </c>
      <c r="E43" t="s">
        <v>40</v>
      </c>
      <c r="F43" s="18">
        <f t="shared" si="12"/>
        <v>453.59237000000002</v>
      </c>
      <c r="G43" s="24"/>
      <c r="H43" s="24"/>
      <c r="I43" s="24">
        <f t="shared" si="14"/>
        <v>4.2336</v>
      </c>
      <c r="J43" s="3">
        <f t="shared" si="13"/>
        <v>9.3334903318589776E-3</v>
      </c>
      <c r="K43" s="69">
        <f t="shared" si="15"/>
        <v>9.333490331858977</v>
      </c>
      <c r="L43" s="67">
        <f t="shared" si="16"/>
        <v>9.333490331858977</v>
      </c>
      <c r="M43" s="3"/>
      <c r="R43" s="4"/>
      <c r="S43" s="4"/>
    </row>
    <row r="44" spans="1:19">
      <c r="A44" t="s">
        <v>105</v>
      </c>
      <c r="B44" t="s">
        <v>299</v>
      </c>
      <c r="C44">
        <v>2024</v>
      </c>
      <c r="D44" s="61">
        <v>1</v>
      </c>
      <c r="E44" t="s">
        <v>40</v>
      </c>
      <c r="F44" s="18">
        <f t="shared" si="12"/>
        <v>453.59237000000002</v>
      </c>
      <c r="G44" s="24"/>
      <c r="H44" s="24"/>
      <c r="I44" s="24">
        <f t="shared" si="14"/>
        <v>4.1832000000000003</v>
      </c>
      <c r="J44" s="3">
        <f t="shared" si="13"/>
        <v>9.2223773517177993E-3</v>
      </c>
      <c r="K44" s="69">
        <f t="shared" si="15"/>
        <v>9.2223773517177996</v>
      </c>
      <c r="L44" s="67">
        <f t="shared" si="16"/>
        <v>9.2223773517177996</v>
      </c>
      <c r="M44" s="3"/>
      <c r="R44" s="4"/>
      <c r="S44" s="4"/>
    </row>
    <row r="45" spans="1:19">
      <c r="A45" t="s">
        <v>50</v>
      </c>
      <c r="B45" t="s">
        <v>299</v>
      </c>
      <c r="C45">
        <v>2022</v>
      </c>
      <c r="D45" s="61">
        <v>1</v>
      </c>
      <c r="E45" t="s">
        <v>40</v>
      </c>
      <c r="F45" s="18">
        <f t="shared" si="12"/>
        <v>453.59237000000002</v>
      </c>
      <c r="G45" s="24"/>
      <c r="H45" s="24"/>
      <c r="I45" s="24">
        <f t="shared" si="14"/>
        <v>5.7780000000000005</v>
      </c>
      <c r="J45" s="3">
        <f t="shared" si="13"/>
        <v>1.2738309509042227E-2</v>
      </c>
      <c r="K45" s="69">
        <f t="shared" si="15"/>
        <v>12.738309509042226</v>
      </c>
      <c r="L45" s="67">
        <f t="shared" si="16"/>
        <v>12.738309509042226</v>
      </c>
      <c r="M45" s="3"/>
      <c r="R45" s="4"/>
      <c r="S45" s="4"/>
    </row>
    <row r="46" spans="1:19">
      <c r="A46" t="s">
        <v>50</v>
      </c>
      <c r="B46" t="s">
        <v>299</v>
      </c>
      <c r="C46">
        <v>2023</v>
      </c>
      <c r="D46" s="61">
        <v>1</v>
      </c>
      <c r="E46" t="s">
        <v>40</v>
      </c>
      <c r="F46" s="18">
        <f t="shared" si="12"/>
        <v>453.59237000000002</v>
      </c>
      <c r="G46" s="24"/>
      <c r="H46" s="24"/>
      <c r="I46" s="24">
        <f t="shared" si="14"/>
        <v>6.1560000000000006</v>
      </c>
      <c r="J46" s="3">
        <f t="shared" si="13"/>
        <v>1.3571656860101065E-2</v>
      </c>
      <c r="K46" s="69">
        <f t="shared" si="15"/>
        <v>13.571656860101065</v>
      </c>
      <c r="L46" s="67">
        <f t="shared" si="16"/>
        <v>13.571656860101063</v>
      </c>
      <c r="M46" s="3"/>
      <c r="R46" s="4"/>
      <c r="S46" s="4"/>
    </row>
    <row r="47" spans="1:19">
      <c r="A47" t="s">
        <v>50</v>
      </c>
      <c r="B47" t="s">
        <v>299</v>
      </c>
      <c r="C47">
        <v>2024</v>
      </c>
      <c r="D47" s="61">
        <v>1</v>
      </c>
      <c r="E47" t="s">
        <v>40</v>
      </c>
      <c r="F47" s="18">
        <f t="shared" si="12"/>
        <v>453.59237000000002</v>
      </c>
      <c r="G47" s="24"/>
      <c r="H47" s="24"/>
      <c r="I47" s="24">
        <f t="shared" si="14"/>
        <v>5.1480000000000006</v>
      </c>
      <c r="J47" s="3">
        <f t="shared" si="13"/>
        <v>1.1349397257277499E-2</v>
      </c>
      <c r="K47" s="69">
        <f t="shared" si="15"/>
        <v>11.349397257277499</v>
      </c>
      <c r="L47" s="67">
        <f t="shared" si="16"/>
        <v>11.349397257277499</v>
      </c>
      <c r="M47" s="3"/>
      <c r="R47" s="4"/>
      <c r="S47" s="4"/>
    </row>
    <row r="48" spans="1:19">
      <c r="R48" s="4"/>
      <c r="S48" s="4"/>
    </row>
    <row r="49" spans="18:19">
      <c r="R49" s="4"/>
      <c r="S49" s="4"/>
    </row>
    <row r="50" spans="18:19">
      <c r="R50" s="4"/>
      <c r="S50" s="4"/>
    </row>
    <row r="51" spans="18:19">
      <c r="R51" s="4"/>
      <c r="S51" s="4"/>
    </row>
    <row r="52" spans="18:19">
      <c r="R52" s="4"/>
      <c r="S52" s="4"/>
    </row>
    <row r="53" spans="18:19">
      <c r="R53" s="4"/>
      <c r="S53" s="4"/>
    </row>
    <row r="54" spans="18:19">
      <c r="R54" s="4"/>
      <c r="S54" s="4"/>
    </row>
    <row r="55" spans="18:19">
      <c r="R55" s="4"/>
      <c r="S55" s="4"/>
    </row>
    <row r="56" spans="18:19">
      <c r="R56" s="4"/>
      <c r="S56" s="4"/>
    </row>
    <row r="57" spans="18:19">
      <c r="R57" s="4"/>
      <c r="S57" s="4"/>
    </row>
    <row r="58" spans="18:19">
      <c r="R58" s="4"/>
      <c r="S58" s="4"/>
    </row>
    <row r="59" spans="18:19">
      <c r="R59" s="4"/>
      <c r="S59" s="4"/>
    </row>
    <row r="60" spans="18:19">
      <c r="R60" s="4"/>
      <c r="S60" s="4"/>
    </row>
    <row r="61" spans="18:19">
      <c r="R61" s="4"/>
      <c r="S61" s="4"/>
    </row>
    <row r="62" spans="18:19">
      <c r="R62" s="4"/>
      <c r="S62" s="4"/>
    </row>
    <row r="63" spans="18:19">
      <c r="R63" s="4"/>
      <c r="S63" s="4"/>
    </row>
    <row r="64" spans="18:19">
      <c r="R64" s="4"/>
      <c r="S64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BE2AA-61F9-47B4-95C8-BDE051FB941B}">
  <dimension ref="A1:O137"/>
  <sheetViews>
    <sheetView topLeftCell="A106" workbookViewId="0">
      <selection activeCell="A2" sqref="A2:O2"/>
    </sheetView>
  </sheetViews>
  <sheetFormatPr defaultRowHeight="15"/>
  <sheetData>
    <row r="1" spans="1:15" ht="19.5">
      <c r="A1" s="72" t="s">
        <v>54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 spans="1:15">
      <c r="A2" s="74" t="s">
        <v>359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5" ht="18.75" thickBot="1">
      <c r="A3" s="75" t="s">
        <v>55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</row>
    <row r="4" spans="1:15" ht="15.75" thickBot="1">
      <c r="A4" s="76" t="s">
        <v>56</v>
      </c>
      <c r="B4" s="76" t="s">
        <v>57</v>
      </c>
      <c r="C4" s="76" t="s">
        <v>58</v>
      </c>
      <c r="D4" s="76" t="s">
        <v>59</v>
      </c>
      <c r="E4" s="76" t="s">
        <v>60</v>
      </c>
      <c r="F4" s="78" t="s">
        <v>61</v>
      </c>
      <c r="G4" s="79"/>
      <c r="H4" s="78" t="s">
        <v>62</v>
      </c>
      <c r="I4" s="79"/>
      <c r="J4" s="78" t="s">
        <v>63</v>
      </c>
      <c r="K4" s="79"/>
      <c r="L4" s="78" t="s">
        <v>64</v>
      </c>
      <c r="M4" s="79"/>
      <c r="N4" s="78" t="s">
        <v>65</v>
      </c>
      <c r="O4" s="79"/>
    </row>
    <row r="5" spans="1:15" ht="15.75" thickBot="1">
      <c r="A5" s="77"/>
      <c r="B5" s="77"/>
      <c r="C5" s="77"/>
      <c r="D5" s="77"/>
      <c r="E5" s="77"/>
      <c r="F5" s="8" t="s">
        <v>66</v>
      </c>
      <c r="G5" s="8" t="s">
        <v>67</v>
      </c>
      <c r="H5" s="8" t="s">
        <v>66</v>
      </c>
      <c r="I5" s="8" t="s">
        <v>67</v>
      </c>
      <c r="J5" s="8" t="s">
        <v>66</v>
      </c>
      <c r="K5" s="8" t="s">
        <v>67</v>
      </c>
      <c r="L5" s="8" t="s">
        <v>66</v>
      </c>
      <c r="M5" s="8" t="s">
        <v>67</v>
      </c>
      <c r="N5" s="8" t="s">
        <v>66</v>
      </c>
      <c r="O5" s="8" t="s">
        <v>67</v>
      </c>
    </row>
    <row r="6" spans="1:15" ht="15.75" thickBot="1">
      <c r="A6" s="80" t="s">
        <v>68</v>
      </c>
      <c r="B6" s="80" t="s">
        <v>69</v>
      </c>
      <c r="C6" s="80" t="s">
        <v>70</v>
      </c>
      <c r="D6" s="9" t="s">
        <v>71</v>
      </c>
      <c r="E6" s="9" t="s">
        <v>72</v>
      </c>
      <c r="F6" s="10" t="s">
        <v>73</v>
      </c>
      <c r="G6" s="10" t="s">
        <v>73</v>
      </c>
      <c r="H6" s="11">
        <v>35</v>
      </c>
      <c r="I6" s="11">
        <v>35</v>
      </c>
      <c r="J6" s="10" t="s">
        <v>73</v>
      </c>
      <c r="K6" s="10" t="s">
        <v>73</v>
      </c>
      <c r="L6" s="10" t="s">
        <v>73</v>
      </c>
      <c r="M6" s="10" t="s">
        <v>73</v>
      </c>
      <c r="N6" s="10" t="s">
        <v>73</v>
      </c>
      <c r="O6" s="10" t="s">
        <v>73</v>
      </c>
    </row>
    <row r="7" spans="1:15" ht="15.75" thickBot="1">
      <c r="A7" s="81"/>
      <c r="B7" s="81"/>
      <c r="C7" s="81"/>
      <c r="D7" s="12" t="s">
        <v>74</v>
      </c>
      <c r="E7" s="12" t="s">
        <v>72</v>
      </c>
      <c r="F7" s="10" t="s">
        <v>73</v>
      </c>
      <c r="G7" s="10" t="s">
        <v>73</v>
      </c>
      <c r="H7" s="10" t="s">
        <v>73</v>
      </c>
      <c r="I7" s="10" t="s">
        <v>73</v>
      </c>
      <c r="J7" s="11">
        <v>45</v>
      </c>
      <c r="K7" s="11">
        <v>45</v>
      </c>
      <c r="L7" s="10" t="s">
        <v>73</v>
      </c>
      <c r="M7" s="10" t="s">
        <v>73</v>
      </c>
      <c r="N7" s="10" t="s">
        <v>73</v>
      </c>
      <c r="O7" s="10" t="s">
        <v>73</v>
      </c>
    </row>
    <row r="8" spans="1:15" ht="15.75" thickBot="1">
      <c r="A8" s="81"/>
      <c r="B8" s="82"/>
      <c r="C8" s="82"/>
      <c r="D8" s="12" t="s">
        <v>75</v>
      </c>
      <c r="E8" s="12" t="s">
        <v>72</v>
      </c>
      <c r="F8" s="10" t="s">
        <v>73</v>
      </c>
      <c r="G8" s="10" t="s">
        <v>73</v>
      </c>
      <c r="H8" s="11">
        <v>39</v>
      </c>
      <c r="I8" s="11">
        <v>63.5</v>
      </c>
      <c r="J8" s="10" t="s">
        <v>73</v>
      </c>
      <c r="K8" s="10" t="s">
        <v>73</v>
      </c>
      <c r="L8" s="10" t="s">
        <v>73</v>
      </c>
      <c r="M8" s="10" t="s">
        <v>73</v>
      </c>
      <c r="N8" s="10" t="s">
        <v>73</v>
      </c>
      <c r="O8" s="10" t="s">
        <v>73</v>
      </c>
    </row>
    <row r="9" spans="1:15" ht="15.75" thickBot="1">
      <c r="A9" s="81"/>
      <c r="B9" s="83" t="s">
        <v>76</v>
      </c>
      <c r="C9" s="12" t="s">
        <v>77</v>
      </c>
      <c r="D9" s="12" t="s">
        <v>78</v>
      </c>
      <c r="E9" s="12" t="s">
        <v>79</v>
      </c>
      <c r="F9" s="11">
        <v>19.850000000000001</v>
      </c>
      <c r="G9" s="11">
        <v>40</v>
      </c>
      <c r="H9" s="10" t="s">
        <v>73</v>
      </c>
      <c r="I9" s="10" t="s">
        <v>73</v>
      </c>
      <c r="J9" s="10" t="s">
        <v>73</v>
      </c>
      <c r="K9" s="10" t="s">
        <v>73</v>
      </c>
      <c r="L9" s="10" t="s">
        <v>73</v>
      </c>
      <c r="M9" s="10" t="s">
        <v>73</v>
      </c>
      <c r="N9" s="10" t="s">
        <v>73</v>
      </c>
      <c r="O9" s="10" t="s">
        <v>73</v>
      </c>
    </row>
    <row r="10" spans="1:15" ht="15.75" thickBot="1">
      <c r="A10" s="81"/>
      <c r="B10" s="81"/>
      <c r="C10" s="83" t="s">
        <v>80</v>
      </c>
      <c r="D10" s="12" t="s">
        <v>81</v>
      </c>
      <c r="E10" s="12" t="s">
        <v>82</v>
      </c>
      <c r="F10" s="10" t="s">
        <v>73</v>
      </c>
      <c r="G10" s="10" t="s">
        <v>73</v>
      </c>
      <c r="H10" s="11">
        <v>46</v>
      </c>
      <c r="I10" s="11">
        <v>52</v>
      </c>
      <c r="J10" s="10" t="s">
        <v>73</v>
      </c>
      <c r="K10" s="10" t="s">
        <v>73</v>
      </c>
      <c r="L10" s="10" t="s">
        <v>73</v>
      </c>
      <c r="M10" s="10" t="s">
        <v>73</v>
      </c>
      <c r="N10" s="10" t="s">
        <v>73</v>
      </c>
      <c r="O10" s="10" t="s">
        <v>73</v>
      </c>
    </row>
    <row r="11" spans="1:15" ht="15.75" thickBot="1">
      <c r="A11" s="81"/>
      <c r="B11" s="81"/>
      <c r="C11" s="82"/>
      <c r="D11" s="12" t="s">
        <v>78</v>
      </c>
      <c r="E11" s="12" t="s">
        <v>82</v>
      </c>
      <c r="F11" s="10" t="s">
        <v>73</v>
      </c>
      <c r="G11" s="10" t="s">
        <v>73</v>
      </c>
      <c r="H11" s="11">
        <v>30</v>
      </c>
      <c r="I11" s="11">
        <v>30</v>
      </c>
      <c r="J11" s="10" t="s">
        <v>73</v>
      </c>
      <c r="K11" s="10" t="s">
        <v>73</v>
      </c>
      <c r="L11" s="10" t="s">
        <v>73</v>
      </c>
      <c r="M11" s="10" t="s">
        <v>73</v>
      </c>
      <c r="N11" s="10" t="s">
        <v>73</v>
      </c>
      <c r="O11" s="10" t="s">
        <v>73</v>
      </c>
    </row>
    <row r="12" spans="1:15" ht="15.75" thickBot="1">
      <c r="A12" s="81"/>
      <c r="B12" s="82"/>
      <c r="C12" s="12" t="s">
        <v>70</v>
      </c>
      <c r="D12" s="12" t="s">
        <v>81</v>
      </c>
      <c r="E12" s="12" t="s">
        <v>72</v>
      </c>
      <c r="F12" s="10" t="s">
        <v>73</v>
      </c>
      <c r="G12" s="10" t="s">
        <v>73</v>
      </c>
      <c r="H12" s="11">
        <v>40</v>
      </c>
      <c r="I12" s="11">
        <v>62</v>
      </c>
      <c r="J12" s="10" t="s">
        <v>73</v>
      </c>
      <c r="K12" s="10" t="s">
        <v>73</v>
      </c>
      <c r="L12" s="10" t="s">
        <v>73</v>
      </c>
      <c r="M12" s="10" t="s">
        <v>73</v>
      </c>
      <c r="N12" s="10" t="s">
        <v>73</v>
      </c>
      <c r="O12" s="10" t="s">
        <v>73</v>
      </c>
    </row>
    <row r="13" spans="1:15" ht="15.75" thickBot="1">
      <c r="A13" s="81"/>
      <c r="B13" s="83" t="s">
        <v>83</v>
      </c>
      <c r="C13" s="12" t="s">
        <v>80</v>
      </c>
      <c r="D13" s="12" t="s">
        <v>84</v>
      </c>
      <c r="E13" s="12" t="s">
        <v>82</v>
      </c>
      <c r="F13" s="10" t="s">
        <v>73</v>
      </c>
      <c r="G13" s="10" t="s">
        <v>73</v>
      </c>
      <c r="H13" s="10" t="s">
        <v>73</v>
      </c>
      <c r="I13" s="10" t="s">
        <v>73</v>
      </c>
      <c r="J13" s="10" t="s">
        <v>73</v>
      </c>
      <c r="K13" s="10" t="s">
        <v>73</v>
      </c>
      <c r="L13" s="10" t="s">
        <v>73</v>
      </c>
      <c r="M13" s="10" t="s">
        <v>73</v>
      </c>
      <c r="N13" s="11">
        <v>25.25</v>
      </c>
      <c r="O13" s="11">
        <v>25.26</v>
      </c>
    </row>
    <row r="14" spans="1:15" ht="15.75" thickBot="1">
      <c r="A14" s="81"/>
      <c r="B14" s="81"/>
      <c r="C14" s="83" t="s">
        <v>70</v>
      </c>
      <c r="D14" s="12" t="s">
        <v>85</v>
      </c>
      <c r="E14" s="12" t="s">
        <v>72</v>
      </c>
      <c r="F14" s="10" t="s">
        <v>73</v>
      </c>
      <c r="G14" s="10" t="s">
        <v>73</v>
      </c>
      <c r="H14" s="10" t="s">
        <v>73</v>
      </c>
      <c r="I14" s="10" t="s">
        <v>73</v>
      </c>
      <c r="J14" s="10" t="s">
        <v>73</v>
      </c>
      <c r="K14" s="10" t="s">
        <v>73</v>
      </c>
      <c r="L14" s="11">
        <v>58</v>
      </c>
      <c r="M14" s="11">
        <v>61.5</v>
      </c>
      <c r="N14" s="10" t="s">
        <v>73</v>
      </c>
      <c r="O14" s="10" t="s">
        <v>73</v>
      </c>
    </row>
    <row r="15" spans="1:15" ht="15.75" thickBot="1">
      <c r="A15" s="81"/>
      <c r="B15" s="81"/>
      <c r="C15" s="81"/>
      <c r="D15" s="12" t="s">
        <v>84</v>
      </c>
      <c r="E15" s="12" t="s">
        <v>72</v>
      </c>
      <c r="F15" s="10" t="s">
        <v>73</v>
      </c>
      <c r="G15" s="10" t="s">
        <v>73</v>
      </c>
      <c r="H15" s="10" t="s">
        <v>73</v>
      </c>
      <c r="I15" s="10" t="s">
        <v>73</v>
      </c>
      <c r="J15" s="10" t="s">
        <v>73</v>
      </c>
      <c r="K15" s="10" t="s">
        <v>73</v>
      </c>
      <c r="L15" s="11">
        <v>25.25</v>
      </c>
      <c r="M15" s="11">
        <v>25.25</v>
      </c>
      <c r="N15" s="10" t="s">
        <v>73</v>
      </c>
      <c r="O15" s="10" t="s">
        <v>73</v>
      </c>
    </row>
    <row r="16" spans="1:15" ht="15.75" thickBot="1">
      <c r="A16" s="81"/>
      <c r="B16" s="81"/>
      <c r="C16" s="81"/>
      <c r="D16" s="12" t="s">
        <v>86</v>
      </c>
      <c r="E16" s="12" t="s">
        <v>72</v>
      </c>
      <c r="F16" s="11">
        <v>53.7</v>
      </c>
      <c r="G16" s="11">
        <v>53.7</v>
      </c>
      <c r="H16" s="10" t="s">
        <v>73</v>
      </c>
      <c r="I16" s="10" t="s">
        <v>73</v>
      </c>
      <c r="J16" s="10" t="s">
        <v>73</v>
      </c>
      <c r="K16" s="10" t="s">
        <v>73</v>
      </c>
      <c r="L16" s="10" t="s">
        <v>73</v>
      </c>
      <c r="M16" s="10" t="s">
        <v>73</v>
      </c>
      <c r="N16" s="10" t="s">
        <v>73</v>
      </c>
      <c r="O16" s="10" t="s">
        <v>73</v>
      </c>
    </row>
    <row r="17" spans="1:15" ht="15.75" thickBot="1">
      <c r="A17" s="81"/>
      <c r="B17" s="81"/>
      <c r="C17" s="82"/>
      <c r="D17" s="12" t="s">
        <v>87</v>
      </c>
      <c r="E17" s="12" t="s">
        <v>72</v>
      </c>
      <c r="F17" s="10" t="s">
        <v>73</v>
      </c>
      <c r="G17" s="10" t="s">
        <v>73</v>
      </c>
      <c r="H17" s="10" t="s">
        <v>73</v>
      </c>
      <c r="I17" s="10" t="s">
        <v>73</v>
      </c>
      <c r="J17" s="10" t="s">
        <v>73</v>
      </c>
      <c r="K17" s="10" t="s">
        <v>73</v>
      </c>
      <c r="L17" s="11">
        <v>25.25</v>
      </c>
      <c r="M17" s="11">
        <v>58</v>
      </c>
      <c r="N17" s="10" t="s">
        <v>73</v>
      </c>
      <c r="O17" s="10" t="s">
        <v>73</v>
      </c>
    </row>
    <row r="18" spans="1:15" ht="15.75" thickBot="1">
      <c r="A18" s="81"/>
      <c r="B18" s="82"/>
      <c r="C18" s="12" t="s">
        <v>88</v>
      </c>
      <c r="D18" s="12" t="s">
        <v>84</v>
      </c>
      <c r="E18" s="12" t="s">
        <v>72</v>
      </c>
      <c r="F18" s="10" t="s">
        <v>73</v>
      </c>
      <c r="G18" s="10" t="s">
        <v>73</v>
      </c>
      <c r="H18" s="10" t="s">
        <v>73</v>
      </c>
      <c r="I18" s="10" t="s">
        <v>73</v>
      </c>
      <c r="J18" s="10" t="s">
        <v>73</v>
      </c>
      <c r="K18" s="10" t="s">
        <v>73</v>
      </c>
      <c r="L18" s="10" t="s">
        <v>73</v>
      </c>
      <c r="M18" s="10" t="s">
        <v>73</v>
      </c>
      <c r="N18" s="11">
        <v>25.25</v>
      </c>
      <c r="O18" s="11">
        <v>25.25</v>
      </c>
    </row>
    <row r="19" spans="1:15" ht="15.75" thickBot="1">
      <c r="A19" s="81"/>
      <c r="B19" s="12" t="s">
        <v>89</v>
      </c>
      <c r="C19" s="12" t="s">
        <v>77</v>
      </c>
      <c r="D19" s="12" t="s">
        <v>75</v>
      </c>
      <c r="E19" s="12" t="s">
        <v>72</v>
      </c>
      <c r="F19" s="10" t="s">
        <v>73</v>
      </c>
      <c r="G19" s="10" t="s">
        <v>73</v>
      </c>
      <c r="H19" s="10" t="s">
        <v>73</v>
      </c>
      <c r="I19" s="10" t="s">
        <v>73</v>
      </c>
      <c r="J19" s="10" t="s">
        <v>73</v>
      </c>
      <c r="K19" s="10" t="s">
        <v>73</v>
      </c>
      <c r="L19" s="11">
        <v>82</v>
      </c>
      <c r="M19" s="11">
        <v>82</v>
      </c>
      <c r="N19" s="10" t="s">
        <v>73</v>
      </c>
      <c r="O19" s="10" t="s">
        <v>73</v>
      </c>
    </row>
    <row r="20" spans="1:15" ht="15.75" thickBot="1">
      <c r="A20" s="81"/>
      <c r="B20" s="83" t="s">
        <v>90</v>
      </c>
      <c r="C20" s="83" t="s">
        <v>77</v>
      </c>
      <c r="D20" s="12" t="s">
        <v>86</v>
      </c>
      <c r="E20" s="12" t="s">
        <v>72</v>
      </c>
      <c r="F20" s="11">
        <v>58.5</v>
      </c>
      <c r="G20" s="11">
        <v>58.5</v>
      </c>
      <c r="H20" s="11">
        <v>58</v>
      </c>
      <c r="I20" s="11">
        <v>61</v>
      </c>
      <c r="J20" s="10" t="s">
        <v>73</v>
      </c>
      <c r="K20" s="10" t="s">
        <v>73</v>
      </c>
      <c r="L20" s="10" t="s">
        <v>73</v>
      </c>
      <c r="M20" s="10" t="s">
        <v>73</v>
      </c>
      <c r="N20" s="11">
        <v>68</v>
      </c>
      <c r="O20" s="11">
        <v>73</v>
      </c>
    </row>
    <row r="21" spans="1:15" ht="15.75" thickBot="1">
      <c r="A21" s="81"/>
      <c r="B21" s="81"/>
      <c r="C21" s="81"/>
      <c r="D21" s="12" t="s">
        <v>78</v>
      </c>
      <c r="E21" s="12" t="s">
        <v>72</v>
      </c>
      <c r="F21" s="10" t="s">
        <v>73</v>
      </c>
      <c r="G21" s="10" t="s">
        <v>73</v>
      </c>
      <c r="H21" s="10" t="s">
        <v>73</v>
      </c>
      <c r="I21" s="10" t="s">
        <v>73</v>
      </c>
      <c r="J21" s="10" t="s">
        <v>73</v>
      </c>
      <c r="K21" s="10" t="s">
        <v>73</v>
      </c>
      <c r="L21" s="11">
        <v>35</v>
      </c>
      <c r="M21" s="11">
        <v>39.5</v>
      </c>
      <c r="N21" s="10" t="s">
        <v>73</v>
      </c>
      <c r="O21" s="10" t="s">
        <v>73</v>
      </c>
    </row>
    <row r="22" spans="1:15" ht="15.75" thickBot="1">
      <c r="A22" s="81"/>
      <c r="B22" s="81"/>
      <c r="C22" s="82"/>
      <c r="D22" s="12" t="s">
        <v>91</v>
      </c>
      <c r="E22" s="12" t="s">
        <v>72</v>
      </c>
      <c r="F22" s="11">
        <v>32</v>
      </c>
      <c r="G22" s="11">
        <v>54.75</v>
      </c>
      <c r="H22" s="11">
        <v>39.5</v>
      </c>
      <c r="I22" s="11">
        <v>48</v>
      </c>
      <c r="J22" s="11">
        <v>20</v>
      </c>
      <c r="K22" s="11">
        <v>61.7</v>
      </c>
      <c r="L22" s="11">
        <v>28</v>
      </c>
      <c r="M22" s="11">
        <v>58.5</v>
      </c>
      <c r="N22" s="11">
        <v>32</v>
      </c>
      <c r="O22" s="11">
        <v>57</v>
      </c>
    </row>
    <row r="23" spans="1:15" ht="15.75" thickBot="1">
      <c r="A23" s="81"/>
      <c r="B23" s="81"/>
      <c r="C23" s="83" t="s">
        <v>80</v>
      </c>
      <c r="D23" s="12" t="s">
        <v>91</v>
      </c>
      <c r="E23" s="12" t="s">
        <v>82</v>
      </c>
      <c r="F23" s="10" t="s">
        <v>73</v>
      </c>
      <c r="G23" s="10" t="s">
        <v>73</v>
      </c>
      <c r="H23" s="10" t="s">
        <v>73</v>
      </c>
      <c r="I23" s="10" t="s">
        <v>73</v>
      </c>
      <c r="J23" s="10" t="s">
        <v>73</v>
      </c>
      <c r="K23" s="10" t="s">
        <v>73</v>
      </c>
      <c r="L23" s="11">
        <v>30</v>
      </c>
      <c r="M23" s="11">
        <v>52.5</v>
      </c>
      <c r="N23" s="10" t="s">
        <v>73</v>
      </c>
      <c r="O23" s="10" t="s">
        <v>73</v>
      </c>
    </row>
    <row r="24" spans="1:15" ht="15.75" thickBot="1">
      <c r="A24" s="81"/>
      <c r="B24" s="81"/>
      <c r="C24" s="81"/>
      <c r="D24" s="83" t="s">
        <v>92</v>
      </c>
      <c r="E24" s="12" t="s">
        <v>72</v>
      </c>
      <c r="F24" s="10" t="s">
        <v>73</v>
      </c>
      <c r="G24" s="10" t="s">
        <v>73</v>
      </c>
      <c r="H24" s="10" t="s">
        <v>73</v>
      </c>
      <c r="I24" s="10" t="s">
        <v>73</v>
      </c>
      <c r="J24" s="10" t="s">
        <v>73</v>
      </c>
      <c r="K24" s="10" t="s">
        <v>73</v>
      </c>
      <c r="L24" s="11">
        <v>50</v>
      </c>
      <c r="M24" s="11">
        <v>51.75</v>
      </c>
      <c r="N24" s="10" t="s">
        <v>73</v>
      </c>
      <c r="O24" s="10" t="s">
        <v>73</v>
      </c>
    </row>
    <row r="25" spans="1:15" ht="15.75" thickBot="1">
      <c r="A25" s="81"/>
      <c r="B25" s="81"/>
      <c r="C25" s="81"/>
      <c r="D25" s="82"/>
      <c r="E25" s="12" t="s">
        <v>82</v>
      </c>
      <c r="F25" s="10" t="s">
        <v>73</v>
      </c>
      <c r="G25" s="10" t="s">
        <v>73</v>
      </c>
      <c r="H25" s="10" t="s">
        <v>73</v>
      </c>
      <c r="I25" s="10" t="s">
        <v>73</v>
      </c>
      <c r="J25" s="10" t="s">
        <v>73</v>
      </c>
      <c r="K25" s="10" t="s">
        <v>73</v>
      </c>
      <c r="L25" s="11">
        <v>50</v>
      </c>
      <c r="M25" s="11">
        <v>50</v>
      </c>
      <c r="N25" s="11">
        <v>50</v>
      </c>
      <c r="O25" s="11">
        <v>83.5</v>
      </c>
    </row>
    <row r="26" spans="1:15" ht="15.75" thickBot="1">
      <c r="A26" s="81"/>
      <c r="B26" s="81"/>
      <c r="C26" s="81"/>
      <c r="D26" s="12" t="s">
        <v>86</v>
      </c>
      <c r="E26" s="12" t="s">
        <v>82</v>
      </c>
      <c r="F26" s="11">
        <v>30</v>
      </c>
      <c r="G26" s="11">
        <v>53.75</v>
      </c>
      <c r="H26" s="11">
        <v>48</v>
      </c>
      <c r="I26" s="11">
        <v>48</v>
      </c>
      <c r="J26" s="11">
        <v>69</v>
      </c>
      <c r="K26" s="11">
        <v>80</v>
      </c>
      <c r="L26" s="11">
        <v>60</v>
      </c>
      <c r="M26" s="11">
        <v>62</v>
      </c>
      <c r="N26" s="11">
        <v>49</v>
      </c>
      <c r="O26" s="11">
        <v>65</v>
      </c>
    </row>
    <row r="27" spans="1:15" ht="15.75" thickBot="1">
      <c r="A27" s="81"/>
      <c r="B27" s="81"/>
      <c r="C27" s="81"/>
      <c r="D27" s="12" t="s">
        <v>81</v>
      </c>
      <c r="E27" s="12" t="s">
        <v>82</v>
      </c>
      <c r="F27" s="10" t="s">
        <v>73</v>
      </c>
      <c r="G27" s="10" t="s">
        <v>73</v>
      </c>
      <c r="H27" s="11">
        <v>37</v>
      </c>
      <c r="I27" s="11">
        <v>53.75</v>
      </c>
      <c r="J27" s="10" t="s">
        <v>73</v>
      </c>
      <c r="K27" s="10" t="s">
        <v>73</v>
      </c>
      <c r="L27" s="10" t="s">
        <v>73</v>
      </c>
      <c r="M27" s="10" t="s">
        <v>73</v>
      </c>
      <c r="N27" s="11">
        <v>23.5</v>
      </c>
      <c r="O27" s="11">
        <v>81</v>
      </c>
    </row>
    <row r="28" spans="1:15" ht="15.75" thickBot="1">
      <c r="A28" s="81"/>
      <c r="B28" s="81"/>
      <c r="C28" s="81"/>
      <c r="D28" s="12" t="s">
        <v>93</v>
      </c>
      <c r="E28" s="12" t="s">
        <v>82</v>
      </c>
      <c r="F28" s="10" t="s">
        <v>73</v>
      </c>
      <c r="G28" s="10" t="s">
        <v>73</v>
      </c>
      <c r="H28" s="10" t="s">
        <v>73</v>
      </c>
      <c r="I28" s="10" t="s">
        <v>73</v>
      </c>
      <c r="J28" s="11">
        <v>48.5</v>
      </c>
      <c r="K28" s="11">
        <v>48.5</v>
      </c>
      <c r="L28" s="10" t="s">
        <v>73</v>
      </c>
      <c r="M28" s="10" t="s">
        <v>73</v>
      </c>
      <c r="N28" s="10" t="s">
        <v>73</v>
      </c>
      <c r="O28" s="10" t="s">
        <v>73</v>
      </c>
    </row>
    <row r="29" spans="1:15" ht="15.75" thickBot="1">
      <c r="A29" s="81"/>
      <c r="B29" s="81"/>
      <c r="C29" s="81"/>
      <c r="D29" s="12" t="s">
        <v>94</v>
      </c>
      <c r="E29" s="12" t="s">
        <v>82</v>
      </c>
      <c r="F29" s="10" t="s">
        <v>73</v>
      </c>
      <c r="G29" s="10" t="s">
        <v>73</v>
      </c>
      <c r="H29" s="10" t="s">
        <v>73</v>
      </c>
      <c r="I29" s="10" t="s">
        <v>73</v>
      </c>
      <c r="J29" s="10" t="s">
        <v>73</v>
      </c>
      <c r="K29" s="10" t="s">
        <v>73</v>
      </c>
      <c r="L29" s="11">
        <v>23.5</v>
      </c>
      <c r="M29" s="11">
        <v>23.5</v>
      </c>
      <c r="N29" s="10" t="s">
        <v>73</v>
      </c>
      <c r="O29" s="10" t="s">
        <v>73</v>
      </c>
    </row>
    <row r="30" spans="1:15" ht="15.75" thickBot="1">
      <c r="A30" s="81"/>
      <c r="B30" s="81"/>
      <c r="C30" s="81"/>
      <c r="D30" s="12" t="s">
        <v>95</v>
      </c>
      <c r="E30" s="12" t="s">
        <v>82</v>
      </c>
      <c r="F30" s="10" t="s">
        <v>73</v>
      </c>
      <c r="G30" s="10" t="s">
        <v>73</v>
      </c>
      <c r="H30" s="10" t="s">
        <v>73</v>
      </c>
      <c r="I30" s="10" t="s">
        <v>73</v>
      </c>
      <c r="J30" s="10" t="s">
        <v>73</v>
      </c>
      <c r="K30" s="10" t="s">
        <v>73</v>
      </c>
      <c r="L30" s="10" t="s">
        <v>73</v>
      </c>
      <c r="M30" s="10" t="s">
        <v>73</v>
      </c>
      <c r="N30" s="11">
        <v>58</v>
      </c>
      <c r="O30" s="11">
        <v>86</v>
      </c>
    </row>
    <row r="31" spans="1:15" ht="15.75" thickBot="1">
      <c r="A31" s="81"/>
      <c r="B31" s="81"/>
      <c r="C31" s="82"/>
      <c r="D31" s="12" t="s">
        <v>78</v>
      </c>
      <c r="E31" s="12" t="s">
        <v>82</v>
      </c>
      <c r="F31" s="10" t="s">
        <v>73</v>
      </c>
      <c r="G31" s="10" t="s">
        <v>73</v>
      </c>
      <c r="H31" s="10" t="s">
        <v>73</v>
      </c>
      <c r="I31" s="10" t="s">
        <v>73</v>
      </c>
      <c r="J31" s="10" t="s">
        <v>73</v>
      </c>
      <c r="K31" s="10" t="s">
        <v>73</v>
      </c>
      <c r="L31" s="11">
        <v>53.7</v>
      </c>
      <c r="M31" s="11">
        <v>53.7</v>
      </c>
      <c r="N31" s="10" t="s">
        <v>73</v>
      </c>
      <c r="O31" s="10" t="s">
        <v>73</v>
      </c>
    </row>
    <row r="32" spans="1:15" ht="15.75" thickBot="1">
      <c r="A32" s="81"/>
      <c r="B32" s="81"/>
      <c r="C32" s="83" t="s">
        <v>70</v>
      </c>
      <c r="D32" s="12" t="s">
        <v>96</v>
      </c>
      <c r="E32" s="12" t="s">
        <v>72</v>
      </c>
      <c r="F32" s="11">
        <v>56</v>
      </c>
      <c r="G32" s="11">
        <v>56</v>
      </c>
      <c r="H32" s="11">
        <v>34.5</v>
      </c>
      <c r="I32" s="11">
        <v>57</v>
      </c>
      <c r="J32" s="10" t="s">
        <v>73</v>
      </c>
      <c r="K32" s="10" t="s">
        <v>73</v>
      </c>
      <c r="L32" s="11">
        <v>40</v>
      </c>
      <c r="M32" s="11">
        <v>100</v>
      </c>
      <c r="N32" s="10" t="s">
        <v>73</v>
      </c>
      <c r="O32" s="10" t="s">
        <v>73</v>
      </c>
    </row>
    <row r="33" spans="1:15" ht="15.75" thickBot="1">
      <c r="A33" s="81"/>
      <c r="B33" s="81"/>
      <c r="C33" s="81"/>
      <c r="D33" s="12" t="s">
        <v>78</v>
      </c>
      <c r="E33" s="12" t="s">
        <v>72</v>
      </c>
      <c r="F33" s="10" t="s">
        <v>73</v>
      </c>
      <c r="G33" s="10" t="s">
        <v>73</v>
      </c>
      <c r="H33" s="11">
        <v>40.5</v>
      </c>
      <c r="I33" s="11">
        <v>72</v>
      </c>
      <c r="J33" s="10" t="s">
        <v>73</v>
      </c>
      <c r="K33" s="10" t="s">
        <v>73</v>
      </c>
      <c r="L33" s="11">
        <v>66</v>
      </c>
      <c r="M33" s="11">
        <v>76.75</v>
      </c>
      <c r="N33" s="11">
        <v>69</v>
      </c>
      <c r="O33" s="11">
        <v>86.5</v>
      </c>
    </row>
    <row r="34" spans="1:15" ht="15.75" thickBot="1">
      <c r="A34" s="81"/>
      <c r="B34" s="81"/>
      <c r="C34" s="81"/>
      <c r="D34" s="12" t="s">
        <v>92</v>
      </c>
      <c r="E34" s="12" t="s">
        <v>72</v>
      </c>
      <c r="F34" s="10" t="s">
        <v>73</v>
      </c>
      <c r="G34" s="10" t="s">
        <v>73</v>
      </c>
      <c r="H34" s="10" t="s">
        <v>73</v>
      </c>
      <c r="I34" s="10" t="s">
        <v>73</v>
      </c>
      <c r="J34" s="10" t="s">
        <v>73</v>
      </c>
      <c r="K34" s="10" t="s">
        <v>73</v>
      </c>
      <c r="L34" s="11">
        <v>63.75</v>
      </c>
      <c r="M34" s="11">
        <v>66</v>
      </c>
      <c r="N34" s="11">
        <v>58</v>
      </c>
      <c r="O34" s="11">
        <v>61</v>
      </c>
    </row>
    <row r="35" spans="1:15" ht="15.75" thickBot="1">
      <c r="A35" s="81"/>
      <c r="B35" s="81"/>
      <c r="C35" s="81"/>
      <c r="D35" s="12" t="s">
        <v>95</v>
      </c>
      <c r="E35" s="12" t="s">
        <v>72</v>
      </c>
      <c r="F35" s="10" t="s">
        <v>73</v>
      </c>
      <c r="G35" s="10" t="s">
        <v>73</v>
      </c>
      <c r="H35" s="10" t="s">
        <v>73</v>
      </c>
      <c r="I35" s="10" t="s">
        <v>73</v>
      </c>
      <c r="J35" s="10" t="s">
        <v>73</v>
      </c>
      <c r="K35" s="10" t="s">
        <v>73</v>
      </c>
      <c r="L35" s="11">
        <v>73</v>
      </c>
      <c r="M35" s="11">
        <v>73</v>
      </c>
      <c r="N35" s="11">
        <v>62.75</v>
      </c>
      <c r="O35" s="11">
        <v>74</v>
      </c>
    </row>
    <row r="36" spans="1:15" ht="15.75" thickBot="1">
      <c r="A36" s="81"/>
      <c r="B36" s="81"/>
      <c r="C36" s="81"/>
      <c r="D36" s="12" t="s">
        <v>97</v>
      </c>
      <c r="E36" s="12" t="s">
        <v>72</v>
      </c>
      <c r="F36" s="11">
        <v>48</v>
      </c>
      <c r="G36" s="11">
        <v>60</v>
      </c>
      <c r="H36" s="11">
        <v>38</v>
      </c>
      <c r="I36" s="11">
        <v>58</v>
      </c>
      <c r="J36" s="10" t="s">
        <v>73</v>
      </c>
      <c r="K36" s="10" t="s">
        <v>73</v>
      </c>
      <c r="L36" s="10" t="s">
        <v>73</v>
      </c>
      <c r="M36" s="10" t="s">
        <v>73</v>
      </c>
      <c r="N36" s="10" t="s">
        <v>73</v>
      </c>
      <c r="O36" s="10" t="s">
        <v>73</v>
      </c>
    </row>
    <row r="37" spans="1:15" ht="15.75" thickBot="1">
      <c r="A37" s="81"/>
      <c r="B37" s="81"/>
      <c r="C37" s="81"/>
      <c r="D37" s="12" t="s">
        <v>81</v>
      </c>
      <c r="E37" s="12" t="s">
        <v>72</v>
      </c>
      <c r="F37" s="10" t="s">
        <v>73</v>
      </c>
      <c r="G37" s="10" t="s">
        <v>73</v>
      </c>
      <c r="H37" s="10" t="s">
        <v>73</v>
      </c>
      <c r="I37" s="10" t="s">
        <v>73</v>
      </c>
      <c r="J37" s="10" t="s">
        <v>73</v>
      </c>
      <c r="K37" s="10" t="s">
        <v>73</v>
      </c>
      <c r="L37" s="10" t="s">
        <v>73</v>
      </c>
      <c r="M37" s="10" t="s">
        <v>73</v>
      </c>
      <c r="N37" s="11">
        <v>60.5</v>
      </c>
      <c r="O37" s="11">
        <v>62</v>
      </c>
    </row>
    <row r="38" spans="1:15" ht="15.75" thickBot="1">
      <c r="A38" s="81"/>
      <c r="B38" s="81"/>
      <c r="C38" s="81"/>
      <c r="D38" s="12" t="s">
        <v>71</v>
      </c>
      <c r="E38" s="12" t="s">
        <v>72</v>
      </c>
      <c r="F38" s="10" t="s">
        <v>73</v>
      </c>
      <c r="G38" s="10" t="s">
        <v>73</v>
      </c>
      <c r="H38" s="11">
        <v>42.5</v>
      </c>
      <c r="I38" s="11">
        <v>42.5</v>
      </c>
      <c r="J38" s="10" t="s">
        <v>73</v>
      </c>
      <c r="K38" s="10" t="s">
        <v>73</v>
      </c>
      <c r="L38" s="10" t="s">
        <v>73</v>
      </c>
      <c r="M38" s="10" t="s">
        <v>73</v>
      </c>
      <c r="N38" s="10" t="s">
        <v>73</v>
      </c>
      <c r="O38" s="10" t="s">
        <v>73</v>
      </c>
    </row>
    <row r="39" spans="1:15" ht="15.75" thickBot="1">
      <c r="A39" s="81"/>
      <c r="B39" s="81"/>
      <c r="C39" s="81"/>
      <c r="D39" s="12" t="s">
        <v>86</v>
      </c>
      <c r="E39" s="12" t="s">
        <v>72</v>
      </c>
      <c r="F39" s="11">
        <v>35</v>
      </c>
      <c r="G39" s="11">
        <v>58.5</v>
      </c>
      <c r="H39" s="11">
        <v>33</v>
      </c>
      <c r="I39" s="11">
        <v>57</v>
      </c>
      <c r="J39" s="11">
        <v>40</v>
      </c>
      <c r="K39" s="11">
        <v>120</v>
      </c>
      <c r="L39" s="11">
        <v>40</v>
      </c>
      <c r="M39" s="11">
        <v>76.75</v>
      </c>
      <c r="N39" s="11">
        <v>39</v>
      </c>
      <c r="O39" s="11">
        <v>68.5</v>
      </c>
    </row>
    <row r="40" spans="1:15" ht="15.75" thickBot="1">
      <c r="A40" s="81"/>
      <c r="B40" s="81"/>
      <c r="C40" s="82"/>
      <c r="D40" s="12" t="s">
        <v>98</v>
      </c>
      <c r="E40" s="12" t="s">
        <v>72</v>
      </c>
      <c r="F40" s="10" t="s">
        <v>73</v>
      </c>
      <c r="G40" s="10" t="s">
        <v>73</v>
      </c>
      <c r="H40" s="10" t="s">
        <v>73</v>
      </c>
      <c r="I40" s="10" t="s">
        <v>73</v>
      </c>
      <c r="J40" s="10" t="s">
        <v>73</v>
      </c>
      <c r="K40" s="10" t="s">
        <v>73</v>
      </c>
      <c r="L40" s="10" t="s">
        <v>73</v>
      </c>
      <c r="M40" s="10" t="s">
        <v>73</v>
      </c>
      <c r="N40" s="11">
        <v>13.5</v>
      </c>
      <c r="O40" s="11">
        <v>20</v>
      </c>
    </row>
    <row r="41" spans="1:15" ht="15.75" thickBot="1">
      <c r="A41" s="81"/>
      <c r="B41" s="82"/>
      <c r="C41" s="12" t="s">
        <v>88</v>
      </c>
      <c r="D41" s="12" t="s">
        <v>97</v>
      </c>
      <c r="E41" s="12" t="s">
        <v>82</v>
      </c>
      <c r="F41" s="10" t="s">
        <v>73</v>
      </c>
      <c r="G41" s="10" t="s">
        <v>73</v>
      </c>
      <c r="H41" s="10" t="s">
        <v>73</v>
      </c>
      <c r="I41" s="10" t="s">
        <v>73</v>
      </c>
      <c r="J41" s="11">
        <v>42</v>
      </c>
      <c r="K41" s="11">
        <v>58</v>
      </c>
      <c r="L41" s="10" t="s">
        <v>73</v>
      </c>
      <c r="M41" s="10" t="s">
        <v>73</v>
      </c>
      <c r="N41" s="10" t="s">
        <v>73</v>
      </c>
      <c r="O41" s="10" t="s">
        <v>73</v>
      </c>
    </row>
    <row r="42" spans="1:15" ht="15.75" thickBot="1">
      <c r="A42" s="81"/>
      <c r="B42" s="83" t="s">
        <v>99</v>
      </c>
      <c r="C42" s="12" t="s">
        <v>77</v>
      </c>
      <c r="D42" s="12" t="s">
        <v>91</v>
      </c>
      <c r="E42" s="12" t="s">
        <v>72</v>
      </c>
      <c r="F42" s="10" t="s">
        <v>73</v>
      </c>
      <c r="G42" s="10" t="s">
        <v>73</v>
      </c>
      <c r="H42" s="11">
        <v>44</v>
      </c>
      <c r="I42" s="11">
        <v>60.5</v>
      </c>
      <c r="J42" s="10" t="s">
        <v>73</v>
      </c>
      <c r="K42" s="10" t="s">
        <v>73</v>
      </c>
      <c r="L42" s="10" t="s">
        <v>73</v>
      </c>
      <c r="M42" s="10" t="s">
        <v>73</v>
      </c>
      <c r="N42" s="11">
        <v>53.5</v>
      </c>
      <c r="O42" s="11">
        <v>53.5</v>
      </c>
    </row>
    <row r="43" spans="1:15" ht="15.75" thickBot="1">
      <c r="A43" s="81"/>
      <c r="B43" s="81"/>
      <c r="C43" s="12" t="s">
        <v>80</v>
      </c>
      <c r="D43" s="12" t="s">
        <v>86</v>
      </c>
      <c r="E43" s="12" t="s">
        <v>82</v>
      </c>
      <c r="F43" s="10" t="s">
        <v>73</v>
      </c>
      <c r="G43" s="10" t="s">
        <v>73</v>
      </c>
      <c r="H43" s="11">
        <v>56.85</v>
      </c>
      <c r="I43" s="11">
        <v>56.85</v>
      </c>
      <c r="J43" s="10" t="s">
        <v>73</v>
      </c>
      <c r="K43" s="10" t="s">
        <v>73</v>
      </c>
      <c r="L43" s="10" t="s">
        <v>73</v>
      </c>
      <c r="M43" s="10" t="s">
        <v>73</v>
      </c>
      <c r="N43" s="10" t="s">
        <v>73</v>
      </c>
      <c r="O43" s="10" t="s">
        <v>73</v>
      </c>
    </row>
    <row r="44" spans="1:15" ht="15.75" thickBot="1">
      <c r="A44" s="81"/>
      <c r="B44" s="81"/>
      <c r="C44" s="83" t="s">
        <v>70</v>
      </c>
      <c r="D44" s="12" t="s">
        <v>78</v>
      </c>
      <c r="E44" s="12" t="s">
        <v>72</v>
      </c>
      <c r="F44" s="10" t="s">
        <v>73</v>
      </c>
      <c r="G44" s="10" t="s">
        <v>73</v>
      </c>
      <c r="H44" s="11">
        <v>48.85</v>
      </c>
      <c r="I44" s="11">
        <v>68.849999999999994</v>
      </c>
      <c r="J44" s="10" t="s">
        <v>73</v>
      </c>
      <c r="K44" s="10" t="s">
        <v>73</v>
      </c>
      <c r="L44" s="10" t="s">
        <v>73</v>
      </c>
      <c r="M44" s="10" t="s">
        <v>73</v>
      </c>
      <c r="N44" s="10" t="s">
        <v>73</v>
      </c>
      <c r="O44" s="10" t="s">
        <v>73</v>
      </c>
    </row>
    <row r="45" spans="1:15" ht="15.75" thickBot="1">
      <c r="A45" s="81"/>
      <c r="B45" s="81"/>
      <c r="C45" s="81"/>
      <c r="D45" s="12" t="s">
        <v>100</v>
      </c>
      <c r="E45" s="12" t="s">
        <v>72</v>
      </c>
      <c r="F45" s="10" t="s">
        <v>73</v>
      </c>
      <c r="G45" s="10" t="s">
        <v>73</v>
      </c>
      <c r="H45" s="10" t="s">
        <v>73</v>
      </c>
      <c r="I45" s="10" t="s">
        <v>73</v>
      </c>
      <c r="J45" s="10" t="s">
        <v>73</v>
      </c>
      <c r="K45" s="10" t="s">
        <v>73</v>
      </c>
      <c r="L45" s="10" t="s">
        <v>73</v>
      </c>
      <c r="M45" s="10" t="s">
        <v>73</v>
      </c>
      <c r="N45" s="11">
        <v>48.85</v>
      </c>
      <c r="O45" s="11">
        <v>48.85</v>
      </c>
    </row>
    <row r="46" spans="1:15" ht="15.75" thickBot="1">
      <c r="A46" s="81"/>
      <c r="B46" s="81"/>
      <c r="C46" s="81"/>
      <c r="D46" s="12" t="s">
        <v>75</v>
      </c>
      <c r="E46" s="12" t="s">
        <v>72</v>
      </c>
      <c r="F46" s="10" t="s">
        <v>73</v>
      </c>
      <c r="G46" s="10" t="s">
        <v>73</v>
      </c>
      <c r="H46" s="11">
        <v>38.85</v>
      </c>
      <c r="I46" s="11">
        <v>56.85</v>
      </c>
      <c r="J46" s="10" t="s">
        <v>73</v>
      </c>
      <c r="K46" s="10" t="s">
        <v>73</v>
      </c>
      <c r="L46" s="10" t="s">
        <v>73</v>
      </c>
      <c r="M46" s="10" t="s">
        <v>73</v>
      </c>
      <c r="N46" s="10" t="s">
        <v>73</v>
      </c>
      <c r="O46" s="10" t="s">
        <v>73</v>
      </c>
    </row>
    <row r="47" spans="1:15" ht="15.75" thickBot="1">
      <c r="A47" s="81"/>
      <c r="B47" s="82"/>
      <c r="C47" s="82"/>
      <c r="D47" s="12" t="s">
        <v>92</v>
      </c>
      <c r="E47" s="12" t="s">
        <v>72</v>
      </c>
      <c r="F47" s="10" t="s">
        <v>73</v>
      </c>
      <c r="G47" s="10" t="s">
        <v>73</v>
      </c>
      <c r="H47" s="10" t="s">
        <v>73</v>
      </c>
      <c r="I47" s="10" t="s">
        <v>73</v>
      </c>
      <c r="J47" s="10" t="s">
        <v>73</v>
      </c>
      <c r="K47" s="10" t="s">
        <v>73</v>
      </c>
      <c r="L47" s="11">
        <v>52.85</v>
      </c>
      <c r="M47" s="11">
        <v>52.85</v>
      </c>
      <c r="N47" s="10" t="s">
        <v>73</v>
      </c>
      <c r="O47" s="10" t="s">
        <v>73</v>
      </c>
    </row>
    <row r="48" spans="1:15" ht="15.75" thickBot="1">
      <c r="A48" s="81"/>
      <c r="B48" s="83" t="s">
        <v>101</v>
      </c>
      <c r="C48" s="12" t="s">
        <v>77</v>
      </c>
      <c r="D48" s="12" t="s">
        <v>86</v>
      </c>
      <c r="E48" s="12" t="s">
        <v>72</v>
      </c>
      <c r="F48" s="10" t="s">
        <v>73</v>
      </c>
      <c r="G48" s="10" t="s">
        <v>73</v>
      </c>
      <c r="H48" s="10" t="s">
        <v>73</v>
      </c>
      <c r="I48" s="10" t="s">
        <v>73</v>
      </c>
      <c r="J48" s="10" t="s">
        <v>73</v>
      </c>
      <c r="K48" s="10" t="s">
        <v>73</v>
      </c>
      <c r="L48" s="11">
        <v>76</v>
      </c>
      <c r="M48" s="11">
        <v>76</v>
      </c>
      <c r="N48" s="11">
        <v>68</v>
      </c>
      <c r="O48" s="11">
        <v>72</v>
      </c>
    </row>
    <row r="49" spans="1:15" ht="15.75" thickBot="1">
      <c r="A49" s="81"/>
      <c r="B49" s="81"/>
      <c r="C49" s="12" t="s">
        <v>80</v>
      </c>
      <c r="D49" s="12" t="s">
        <v>78</v>
      </c>
      <c r="E49" s="12" t="s">
        <v>82</v>
      </c>
      <c r="F49" s="10" t="s">
        <v>73</v>
      </c>
      <c r="G49" s="10" t="s">
        <v>73</v>
      </c>
      <c r="H49" s="10" t="s">
        <v>73</v>
      </c>
      <c r="I49" s="10" t="s">
        <v>73</v>
      </c>
      <c r="J49" s="10" t="s">
        <v>73</v>
      </c>
      <c r="K49" s="10" t="s">
        <v>73</v>
      </c>
      <c r="L49" s="10" t="s">
        <v>73</v>
      </c>
      <c r="M49" s="10" t="s">
        <v>73</v>
      </c>
      <c r="N49" s="11">
        <v>53.5</v>
      </c>
      <c r="O49" s="11">
        <v>60</v>
      </c>
    </row>
    <row r="50" spans="1:15" ht="15.75" thickBot="1">
      <c r="A50" s="81"/>
      <c r="B50" s="81"/>
      <c r="C50" s="83" t="s">
        <v>70</v>
      </c>
      <c r="D50" s="12" t="s">
        <v>102</v>
      </c>
      <c r="E50" s="12" t="s">
        <v>72</v>
      </c>
      <c r="F50" s="10" t="s">
        <v>73</v>
      </c>
      <c r="G50" s="10" t="s">
        <v>73</v>
      </c>
      <c r="H50" s="10" t="s">
        <v>73</v>
      </c>
      <c r="I50" s="10" t="s">
        <v>73</v>
      </c>
      <c r="J50" s="10" t="s">
        <v>73</v>
      </c>
      <c r="K50" s="10" t="s">
        <v>73</v>
      </c>
      <c r="L50" s="11">
        <v>42</v>
      </c>
      <c r="M50" s="11">
        <v>50</v>
      </c>
      <c r="N50" s="11">
        <v>46.5</v>
      </c>
      <c r="O50" s="11">
        <v>46.5</v>
      </c>
    </row>
    <row r="51" spans="1:15" ht="15.75" thickBot="1">
      <c r="A51" s="81"/>
      <c r="B51" s="81"/>
      <c r="C51" s="81"/>
      <c r="D51" s="12" t="s">
        <v>71</v>
      </c>
      <c r="E51" s="12" t="s">
        <v>72</v>
      </c>
      <c r="F51" s="10" t="s">
        <v>73</v>
      </c>
      <c r="G51" s="10" t="s">
        <v>73</v>
      </c>
      <c r="H51" s="10" t="s">
        <v>73</v>
      </c>
      <c r="I51" s="10" t="s">
        <v>73</v>
      </c>
      <c r="J51" s="10" t="s">
        <v>73</v>
      </c>
      <c r="K51" s="10" t="s">
        <v>73</v>
      </c>
      <c r="L51" s="11">
        <v>35</v>
      </c>
      <c r="M51" s="11">
        <v>45</v>
      </c>
      <c r="N51" s="11">
        <v>38</v>
      </c>
      <c r="O51" s="11">
        <v>38</v>
      </c>
    </row>
    <row r="52" spans="1:15" ht="15.75" thickBot="1">
      <c r="A52" s="81"/>
      <c r="B52" s="82"/>
      <c r="C52" s="82"/>
      <c r="D52" s="12" t="s">
        <v>75</v>
      </c>
      <c r="E52" s="12" t="s">
        <v>72</v>
      </c>
      <c r="F52" s="10" t="s">
        <v>73</v>
      </c>
      <c r="G52" s="10" t="s">
        <v>73</v>
      </c>
      <c r="H52" s="10" t="s">
        <v>73</v>
      </c>
      <c r="I52" s="10" t="s">
        <v>73</v>
      </c>
      <c r="J52" s="10" t="s">
        <v>73</v>
      </c>
      <c r="K52" s="10" t="s">
        <v>73</v>
      </c>
      <c r="L52" s="11">
        <v>35</v>
      </c>
      <c r="M52" s="11">
        <v>35</v>
      </c>
      <c r="N52" s="11">
        <v>38</v>
      </c>
      <c r="O52" s="11">
        <v>55.5</v>
      </c>
    </row>
    <row r="53" spans="1:15" ht="15.75" thickBot="1">
      <c r="A53" s="81"/>
      <c r="B53" s="83" t="s">
        <v>103</v>
      </c>
      <c r="C53" s="83" t="s">
        <v>80</v>
      </c>
      <c r="D53" s="12" t="s">
        <v>86</v>
      </c>
      <c r="E53" s="12" t="s">
        <v>82</v>
      </c>
      <c r="F53" s="10" t="s">
        <v>73</v>
      </c>
      <c r="G53" s="10" t="s">
        <v>73</v>
      </c>
      <c r="H53" s="10" t="s">
        <v>73</v>
      </c>
      <c r="I53" s="10" t="s">
        <v>73</v>
      </c>
      <c r="J53" s="11">
        <v>82.25</v>
      </c>
      <c r="K53" s="11">
        <v>134.9</v>
      </c>
      <c r="L53" s="11">
        <v>98</v>
      </c>
      <c r="M53" s="11">
        <v>100</v>
      </c>
      <c r="N53" s="10" t="s">
        <v>73</v>
      </c>
      <c r="O53" s="10" t="s">
        <v>73</v>
      </c>
    </row>
    <row r="54" spans="1:15" ht="15.75" thickBot="1">
      <c r="A54" s="81"/>
      <c r="B54" s="81"/>
      <c r="C54" s="82"/>
      <c r="D54" s="12" t="s">
        <v>97</v>
      </c>
      <c r="E54" s="12" t="s">
        <v>82</v>
      </c>
      <c r="F54" s="10" t="s">
        <v>73</v>
      </c>
      <c r="G54" s="10" t="s">
        <v>73</v>
      </c>
      <c r="H54" s="10" t="s">
        <v>73</v>
      </c>
      <c r="I54" s="10" t="s">
        <v>73</v>
      </c>
      <c r="J54" s="11">
        <v>78.5</v>
      </c>
      <c r="K54" s="11">
        <v>100</v>
      </c>
      <c r="L54" s="10" t="s">
        <v>73</v>
      </c>
      <c r="M54" s="10" t="s">
        <v>73</v>
      </c>
      <c r="N54" s="10" t="s">
        <v>73</v>
      </c>
      <c r="O54" s="10" t="s">
        <v>73</v>
      </c>
    </row>
    <row r="55" spans="1:15" ht="15.75" thickBot="1">
      <c r="A55" s="81"/>
      <c r="B55" s="81"/>
      <c r="C55" s="83" t="s">
        <v>70</v>
      </c>
      <c r="D55" s="12" t="s">
        <v>78</v>
      </c>
      <c r="E55" s="12" t="s">
        <v>72</v>
      </c>
      <c r="F55" s="10" t="s">
        <v>73</v>
      </c>
      <c r="G55" s="10" t="s">
        <v>73</v>
      </c>
      <c r="H55" s="10" t="s">
        <v>73</v>
      </c>
      <c r="I55" s="10" t="s">
        <v>73</v>
      </c>
      <c r="J55" s="11">
        <v>100</v>
      </c>
      <c r="K55" s="11">
        <v>120</v>
      </c>
      <c r="L55" s="11">
        <v>100</v>
      </c>
      <c r="M55" s="11">
        <v>100</v>
      </c>
      <c r="N55" s="10" t="s">
        <v>73</v>
      </c>
      <c r="O55" s="10" t="s">
        <v>73</v>
      </c>
    </row>
    <row r="56" spans="1:15" ht="15.75" thickBot="1">
      <c r="A56" s="81"/>
      <c r="B56" s="81"/>
      <c r="C56" s="81"/>
      <c r="D56" s="12" t="s">
        <v>86</v>
      </c>
      <c r="E56" s="12" t="s">
        <v>72</v>
      </c>
      <c r="F56" s="10" t="s">
        <v>73</v>
      </c>
      <c r="G56" s="10" t="s">
        <v>73</v>
      </c>
      <c r="H56" s="10" t="s">
        <v>73</v>
      </c>
      <c r="I56" s="10" t="s">
        <v>73</v>
      </c>
      <c r="J56" s="10" t="s">
        <v>73</v>
      </c>
      <c r="K56" s="10" t="s">
        <v>73</v>
      </c>
      <c r="L56" s="11">
        <v>72</v>
      </c>
      <c r="M56" s="11">
        <v>85</v>
      </c>
      <c r="N56" s="10" t="s">
        <v>73</v>
      </c>
      <c r="O56" s="10" t="s">
        <v>73</v>
      </c>
    </row>
    <row r="57" spans="1:15" ht="15.75" thickBot="1">
      <c r="A57" s="81"/>
      <c r="B57" s="82"/>
      <c r="C57" s="82"/>
      <c r="D57" s="12" t="s">
        <v>71</v>
      </c>
      <c r="E57" s="12" t="s">
        <v>72</v>
      </c>
      <c r="F57" s="10" t="s">
        <v>73</v>
      </c>
      <c r="G57" s="10" t="s">
        <v>73</v>
      </c>
      <c r="H57" s="10" t="s">
        <v>73</v>
      </c>
      <c r="I57" s="10" t="s">
        <v>73</v>
      </c>
      <c r="J57" s="10" t="s">
        <v>73</v>
      </c>
      <c r="K57" s="10" t="s">
        <v>73</v>
      </c>
      <c r="L57" s="11">
        <v>42</v>
      </c>
      <c r="M57" s="11">
        <v>45</v>
      </c>
      <c r="N57" s="10" t="s">
        <v>73</v>
      </c>
      <c r="O57" s="10" t="s">
        <v>73</v>
      </c>
    </row>
    <row r="58" spans="1:15" ht="15.75" thickBot="1">
      <c r="A58" s="82"/>
      <c r="B58" s="12" t="s">
        <v>104</v>
      </c>
      <c r="C58" s="12" t="s">
        <v>77</v>
      </c>
      <c r="D58" s="12" t="s">
        <v>91</v>
      </c>
      <c r="E58" s="12" t="s">
        <v>72</v>
      </c>
      <c r="F58" s="11">
        <v>39.75</v>
      </c>
      <c r="G58" s="11">
        <v>48.75</v>
      </c>
      <c r="H58" s="10" t="s">
        <v>73</v>
      </c>
      <c r="I58" s="10" t="s">
        <v>73</v>
      </c>
      <c r="J58" s="11">
        <v>32</v>
      </c>
      <c r="K58" s="11">
        <v>67.8</v>
      </c>
      <c r="L58" s="11">
        <v>30</v>
      </c>
      <c r="M58" s="11">
        <v>76</v>
      </c>
      <c r="N58" s="11">
        <v>59</v>
      </c>
      <c r="O58" s="11">
        <v>63</v>
      </c>
    </row>
    <row r="59" spans="1:15" ht="15.75" thickBot="1">
      <c r="A59" s="83" t="s">
        <v>105</v>
      </c>
      <c r="B59" s="83" t="s">
        <v>106</v>
      </c>
      <c r="C59" s="83" t="s">
        <v>77</v>
      </c>
      <c r="D59" s="12" t="s">
        <v>107</v>
      </c>
      <c r="E59" s="12" t="s">
        <v>108</v>
      </c>
      <c r="F59" s="10" t="s">
        <v>73</v>
      </c>
      <c r="G59" s="10" t="s">
        <v>73</v>
      </c>
      <c r="H59" s="10" t="s">
        <v>73</v>
      </c>
      <c r="I59" s="10" t="s">
        <v>73</v>
      </c>
      <c r="J59" s="10" t="s">
        <v>73</v>
      </c>
      <c r="K59" s="10" t="s">
        <v>73</v>
      </c>
      <c r="L59" s="11">
        <v>24</v>
      </c>
      <c r="M59" s="11">
        <v>30.5</v>
      </c>
      <c r="N59" s="10" t="s">
        <v>73</v>
      </c>
      <c r="O59" s="10" t="s">
        <v>73</v>
      </c>
    </row>
    <row r="60" spans="1:15" ht="15.75" thickBot="1">
      <c r="A60" s="81"/>
      <c r="B60" s="81"/>
      <c r="C60" s="82"/>
      <c r="D60" s="12" t="s">
        <v>109</v>
      </c>
      <c r="E60" s="12" t="s">
        <v>108</v>
      </c>
      <c r="F60" s="11">
        <v>24</v>
      </c>
      <c r="G60" s="11">
        <v>35</v>
      </c>
      <c r="H60" s="11">
        <v>21.5</v>
      </c>
      <c r="I60" s="11">
        <v>30</v>
      </c>
      <c r="J60" s="11">
        <v>23.5</v>
      </c>
      <c r="K60" s="11">
        <v>36.75</v>
      </c>
      <c r="L60" s="11">
        <v>21</v>
      </c>
      <c r="M60" s="11">
        <v>44.85</v>
      </c>
      <c r="N60" s="11">
        <v>28</v>
      </c>
      <c r="O60" s="11">
        <v>41.75</v>
      </c>
    </row>
    <row r="61" spans="1:15" ht="15.75" thickBot="1">
      <c r="A61" s="81"/>
      <c r="B61" s="81"/>
      <c r="C61" s="12" t="s">
        <v>80</v>
      </c>
      <c r="D61" s="12" t="s">
        <v>109</v>
      </c>
      <c r="E61" s="12" t="s">
        <v>82</v>
      </c>
      <c r="F61" s="10" t="s">
        <v>73</v>
      </c>
      <c r="G61" s="10" t="s">
        <v>73</v>
      </c>
      <c r="H61" s="11">
        <v>30</v>
      </c>
      <c r="I61" s="11">
        <v>36</v>
      </c>
      <c r="J61" s="11">
        <v>20</v>
      </c>
      <c r="K61" s="11">
        <v>49</v>
      </c>
      <c r="L61" s="11">
        <v>20</v>
      </c>
      <c r="M61" s="11">
        <v>56.75</v>
      </c>
      <c r="N61" s="10" t="s">
        <v>73</v>
      </c>
      <c r="O61" s="10" t="s">
        <v>73</v>
      </c>
    </row>
    <row r="62" spans="1:15" ht="15.75" thickBot="1">
      <c r="A62" s="81"/>
      <c r="B62" s="81"/>
      <c r="C62" s="12" t="s">
        <v>70</v>
      </c>
      <c r="D62" s="12" t="s">
        <v>109</v>
      </c>
      <c r="E62" s="12" t="s">
        <v>72</v>
      </c>
      <c r="F62" s="11">
        <v>29</v>
      </c>
      <c r="G62" s="11">
        <v>37.549999999999997</v>
      </c>
      <c r="H62" s="11">
        <v>26</v>
      </c>
      <c r="I62" s="11">
        <v>35</v>
      </c>
      <c r="J62" s="11">
        <v>30</v>
      </c>
      <c r="K62" s="11">
        <v>43</v>
      </c>
      <c r="L62" s="11">
        <v>20</v>
      </c>
      <c r="M62" s="11">
        <v>46.1</v>
      </c>
      <c r="N62" s="11">
        <v>23.75</v>
      </c>
      <c r="O62" s="11">
        <v>48</v>
      </c>
    </row>
    <row r="63" spans="1:15" ht="15.75" thickBot="1">
      <c r="A63" s="81"/>
      <c r="B63" s="82"/>
      <c r="C63" s="12" t="s">
        <v>88</v>
      </c>
      <c r="D63" s="12" t="s">
        <v>109</v>
      </c>
      <c r="E63" s="12" t="s">
        <v>82</v>
      </c>
      <c r="F63" s="10" t="s">
        <v>73</v>
      </c>
      <c r="G63" s="10" t="s">
        <v>73</v>
      </c>
      <c r="H63" s="10" t="s">
        <v>73</v>
      </c>
      <c r="I63" s="10" t="s">
        <v>73</v>
      </c>
      <c r="J63" s="10" t="s">
        <v>73</v>
      </c>
      <c r="K63" s="10" t="s">
        <v>73</v>
      </c>
      <c r="L63" s="10" t="s">
        <v>73</v>
      </c>
      <c r="M63" s="10" t="s">
        <v>73</v>
      </c>
      <c r="N63" s="11">
        <v>37</v>
      </c>
      <c r="O63" s="11">
        <v>48.5</v>
      </c>
    </row>
    <row r="64" spans="1:15" ht="15.75" thickBot="1">
      <c r="A64" s="81"/>
      <c r="B64" s="83" t="s">
        <v>110</v>
      </c>
      <c r="C64" s="12" t="s">
        <v>111</v>
      </c>
      <c r="D64" s="12" t="s">
        <v>112</v>
      </c>
      <c r="E64" s="12" t="s">
        <v>82</v>
      </c>
      <c r="F64" s="10" t="s">
        <v>73</v>
      </c>
      <c r="G64" s="10" t="s">
        <v>73</v>
      </c>
      <c r="H64" s="10" t="s">
        <v>73</v>
      </c>
      <c r="I64" s="10" t="s">
        <v>73</v>
      </c>
      <c r="J64" s="10" t="s">
        <v>73</v>
      </c>
      <c r="K64" s="10" t="s">
        <v>73</v>
      </c>
      <c r="L64" s="10" t="s">
        <v>73</v>
      </c>
      <c r="M64" s="10" t="s">
        <v>73</v>
      </c>
      <c r="N64" s="11">
        <v>49.25</v>
      </c>
      <c r="O64" s="11">
        <v>56</v>
      </c>
    </row>
    <row r="65" spans="1:15" ht="15.75" thickBot="1">
      <c r="A65" s="81"/>
      <c r="B65" s="81"/>
      <c r="C65" s="83" t="s">
        <v>77</v>
      </c>
      <c r="D65" s="12" t="s">
        <v>112</v>
      </c>
      <c r="E65" s="12" t="s">
        <v>108</v>
      </c>
      <c r="F65" s="11">
        <v>26</v>
      </c>
      <c r="G65" s="11">
        <v>41.5</v>
      </c>
      <c r="H65" s="11">
        <v>31.75</v>
      </c>
      <c r="I65" s="11">
        <v>34.75</v>
      </c>
      <c r="J65" s="11">
        <v>40</v>
      </c>
      <c r="K65" s="11">
        <v>48.2</v>
      </c>
      <c r="L65" s="10" t="s">
        <v>73</v>
      </c>
      <c r="M65" s="10" t="s">
        <v>73</v>
      </c>
      <c r="N65" s="11">
        <v>36.75</v>
      </c>
      <c r="O65" s="11">
        <v>61.25</v>
      </c>
    </row>
    <row r="66" spans="1:15" ht="15.75" thickBot="1">
      <c r="A66" s="81"/>
      <c r="B66" s="81"/>
      <c r="C66" s="82"/>
      <c r="D66" s="12" t="s">
        <v>113</v>
      </c>
      <c r="E66" s="12" t="s">
        <v>108</v>
      </c>
      <c r="F66" s="10" t="s">
        <v>73</v>
      </c>
      <c r="G66" s="10" t="s">
        <v>73</v>
      </c>
      <c r="H66" s="10" t="s">
        <v>73</v>
      </c>
      <c r="I66" s="10" t="s">
        <v>73</v>
      </c>
      <c r="J66" s="10" t="s">
        <v>73</v>
      </c>
      <c r="K66" s="10" t="s">
        <v>73</v>
      </c>
      <c r="L66" s="11">
        <v>38.5</v>
      </c>
      <c r="M66" s="11">
        <v>60.75</v>
      </c>
      <c r="N66" s="11">
        <v>45.25</v>
      </c>
      <c r="O66" s="11">
        <v>45.25</v>
      </c>
    </row>
    <row r="67" spans="1:15" ht="15.75" thickBot="1">
      <c r="A67" s="81"/>
      <c r="B67" s="81"/>
      <c r="C67" s="12" t="s">
        <v>114</v>
      </c>
      <c r="D67" s="12" t="s">
        <v>113</v>
      </c>
      <c r="E67" s="12" t="s">
        <v>108</v>
      </c>
      <c r="F67" s="10" t="s">
        <v>73</v>
      </c>
      <c r="G67" s="10" t="s">
        <v>73</v>
      </c>
      <c r="H67" s="10" t="s">
        <v>73</v>
      </c>
      <c r="I67" s="10" t="s">
        <v>73</v>
      </c>
      <c r="J67" s="10" t="s">
        <v>73</v>
      </c>
      <c r="K67" s="10" t="s">
        <v>73</v>
      </c>
      <c r="L67" s="11">
        <v>47.5</v>
      </c>
      <c r="M67" s="11">
        <v>47.5</v>
      </c>
      <c r="N67" s="10" t="s">
        <v>73</v>
      </c>
      <c r="O67" s="10" t="s">
        <v>73</v>
      </c>
    </row>
    <row r="68" spans="1:15" ht="15.75" thickBot="1">
      <c r="A68" s="81"/>
      <c r="B68" s="81"/>
      <c r="C68" s="83" t="s">
        <v>115</v>
      </c>
      <c r="D68" s="12" t="s">
        <v>71</v>
      </c>
      <c r="E68" s="12" t="s">
        <v>72</v>
      </c>
      <c r="F68" s="10" t="s">
        <v>73</v>
      </c>
      <c r="G68" s="10" t="s">
        <v>73</v>
      </c>
      <c r="H68" s="10" t="s">
        <v>73</v>
      </c>
      <c r="I68" s="10" t="s">
        <v>73</v>
      </c>
      <c r="J68" s="10" t="s">
        <v>73</v>
      </c>
      <c r="K68" s="10" t="s">
        <v>73</v>
      </c>
      <c r="L68" s="10" t="s">
        <v>73</v>
      </c>
      <c r="M68" s="10" t="s">
        <v>73</v>
      </c>
      <c r="N68" s="11">
        <v>18</v>
      </c>
      <c r="O68" s="11">
        <v>25</v>
      </c>
    </row>
    <row r="69" spans="1:15" ht="15.75" thickBot="1">
      <c r="A69" s="81"/>
      <c r="B69" s="81"/>
      <c r="C69" s="81"/>
      <c r="D69" s="12" t="s">
        <v>116</v>
      </c>
      <c r="E69" s="12" t="s">
        <v>72</v>
      </c>
      <c r="F69" s="11">
        <v>9</v>
      </c>
      <c r="G69" s="11">
        <v>18.75</v>
      </c>
      <c r="H69" s="10" t="s">
        <v>73</v>
      </c>
      <c r="I69" s="10" t="s">
        <v>73</v>
      </c>
      <c r="J69" s="10" t="s">
        <v>73</v>
      </c>
      <c r="K69" s="10" t="s">
        <v>73</v>
      </c>
      <c r="L69" s="11">
        <v>12.85</v>
      </c>
      <c r="M69" s="11">
        <v>25</v>
      </c>
      <c r="N69" s="10" t="s">
        <v>73</v>
      </c>
      <c r="O69" s="10" t="s">
        <v>73</v>
      </c>
    </row>
    <row r="70" spans="1:15" ht="15.75" thickBot="1">
      <c r="A70" s="81"/>
      <c r="B70" s="81"/>
      <c r="C70" s="82"/>
      <c r="D70" s="12" t="s">
        <v>117</v>
      </c>
      <c r="E70" s="12" t="s">
        <v>72</v>
      </c>
      <c r="F70" s="10" t="s">
        <v>73</v>
      </c>
      <c r="G70" s="10" t="s">
        <v>73</v>
      </c>
      <c r="H70" s="11">
        <v>9.5</v>
      </c>
      <c r="I70" s="11">
        <v>20.5</v>
      </c>
      <c r="J70" s="10" t="s">
        <v>73</v>
      </c>
      <c r="K70" s="10" t="s">
        <v>73</v>
      </c>
      <c r="L70" s="10" t="s">
        <v>73</v>
      </c>
      <c r="M70" s="10" t="s">
        <v>73</v>
      </c>
      <c r="N70" s="10" t="s">
        <v>73</v>
      </c>
      <c r="O70" s="10" t="s">
        <v>73</v>
      </c>
    </row>
    <row r="71" spans="1:15" ht="15.75" thickBot="1">
      <c r="A71" s="81"/>
      <c r="B71" s="81"/>
      <c r="C71" s="83" t="s">
        <v>80</v>
      </c>
      <c r="D71" s="83" t="s">
        <v>112</v>
      </c>
      <c r="E71" s="12" t="s">
        <v>82</v>
      </c>
      <c r="F71" s="11">
        <v>30</v>
      </c>
      <c r="G71" s="11">
        <v>45</v>
      </c>
      <c r="H71" s="11">
        <v>31.75</v>
      </c>
      <c r="I71" s="11">
        <v>38</v>
      </c>
      <c r="J71" s="11">
        <v>34</v>
      </c>
      <c r="K71" s="11">
        <v>53</v>
      </c>
      <c r="L71" s="11">
        <v>41.25</v>
      </c>
      <c r="M71" s="11">
        <v>48</v>
      </c>
      <c r="N71" s="11">
        <v>35.5</v>
      </c>
      <c r="O71" s="11">
        <v>54.5</v>
      </c>
    </row>
    <row r="72" spans="1:15" ht="15.75" thickBot="1">
      <c r="A72" s="81"/>
      <c r="B72" s="81"/>
      <c r="C72" s="81"/>
      <c r="D72" s="82"/>
      <c r="E72" s="12" t="s">
        <v>72</v>
      </c>
      <c r="F72" s="11">
        <v>31.75</v>
      </c>
      <c r="G72" s="11">
        <v>31.75</v>
      </c>
      <c r="H72" s="10" t="s">
        <v>73</v>
      </c>
      <c r="I72" s="10" t="s">
        <v>73</v>
      </c>
      <c r="J72" s="10" t="s">
        <v>73</v>
      </c>
      <c r="K72" s="10" t="s">
        <v>73</v>
      </c>
      <c r="L72" s="10" t="s">
        <v>73</v>
      </c>
      <c r="M72" s="10" t="s">
        <v>73</v>
      </c>
      <c r="N72" s="10" t="s">
        <v>73</v>
      </c>
      <c r="O72" s="10" t="s">
        <v>73</v>
      </c>
    </row>
    <row r="73" spans="1:15" ht="15.75" thickBot="1">
      <c r="A73" s="81"/>
      <c r="B73" s="81"/>
      <c r="C73" s="82"/>
      <c r="D73" s="12" t="s">
        <v>113</v>
      </c>
      <c r="E73" s="12" t="s">
        <v>82</v>
      </c>
      <c r="F73" s="10" t="s">
        <v>73</v>
      </c>
      <c r="G73" s="10" t="s">
        <v>73</v>
      </c>
      <c r="H73" s="11">
        <v>36.299999999999997</v>
      </c>
      <c r="I73" s="11">
        <v>45.5</v>
      </c>
      <c r="J73" s="10" t="s">
        <v>73</v>
      </c>
      <c r="K73" s="10" t="s">
        <v>73</v>
      </c>
      <c r="L73" s="11">
        <v>36</v>
      </c>
      <c r="M73" s="11">
        <v>58.75</v>
      </c>
      <c r="N73" s="10" t="s">
        <v>73</v>
      </c>
      <c r="O73" s="10" t="s">
        <v>73</v>
      </c>
    </row>
    <row r="74" spans="1:15" ht="15.75" thickBot="1">
      <c r="A74" s="81"/>
      <c r="B74" s="81"/>
      <c r="C74" s="12" t="s">
        <v>70</v>
      </c>
      <c r="D74" s="12" t="s">
        <v>113</v>
      </c>
      <c r="E74" s="12" t="s">
        <v>72</v>
      </c>
      <c r="F74" s="10" t="s">
        <v>73</v>
      </c>
      <c r="G74" s="10" t="s">
        <v>73</v>
      </c>
      <c r="H74" s="10" t="s">
        <v>73</v>
      </c>
      <c r="I74" s="10" t="s">
        <v>73</v>
      </c>
      <c r="J74" s="10" t="s">
        <v>73</v>
      </c>
      <c r="K74" s="10" t="s">
        <v>73</v>
      </c>
      <c r="L74" s="11">
        <v>42.5</v>
      </c>
      <c r="M74" s="11">
        <v>42.5</v>
      </c>
      <c r="N74" s="10" t="s">
        <v>73</v>
      </c>
      <c r="O74" s="10" t="s">
        <v>73</v>
      </c>
    </row>
    <row r="75" spans="1:15" ht="15.75" thickBot="1">
      <c r="A75" s="81"/>
      <c r="B75" s="82"/>
      <c r="C75" s="12" t="s">
        <v>88</v>
      </c>
      <c r="D75" s="12" t="s">
        <v>112</v>
      </c>
      <c r="E75" s="12" t="s">
        <v>82</v>
      </c>
      <c r="F75" s="10" t="s">
        <v>73</v>
      </c>
      <c r="G75" s="10" t="s">
        <v>73</v>
      </c>
      <c r="H75" s="10" t="s">
        <v>73</v>
      </c>
      <c r="I75" s="10" t="s">
        <v>73</v>
      </c>
      <c r="J75" s="10" t="s">
        <v>73</v>
      </c>
      <c r="K75" s="10" t="s">
        <v>73</v>
      </c>
      <c r="L75" s="10" t="s">
        <v>73</v>
      </c>
      <c r="M75" s="10" t="s">
        <v>73</v>
      </c>
      <c r="N75" s="11">
        <v>46</v>
      </c>
      <c r="O75" s="11">
        <v>46</v>
      </c>
    </row>
    <row r="76" spans="1:15" ht="15.75" thickBot="1">
      <c r="A76" s="81"/>
      <c r="B76" s="83" t="s">
        <v>118</v>
      </c>
      <c r="C76" s="83" t="s">
        <v>77</v>
      </c>
      <c r="D76" s="12" t="s">
        <v>119</v>
      </c>
      <c r="E76" s="12" t="s">
        <v>108</v>
      </c>
      <c r="F76" s="11">
        <v>33</v>
      </c>
      <c r="G76" s="11">
        <v>33</v>
      </c>
      <c r="H76" s="11">
        <v>34.5</v>
      </c>
      <c r="I76" s="11">
        <v>34.5</v>
      </c>
      <c r="J76" s="10" t="s">
        <v>73</v>
      </c>
      <c r="K76" s="10" t="s">
        <v>73</v>
      </c>
      <c r="L76" s="10" t="s">
        <v>73</v>
      </c>
      <c r="M76" s="10" t="s">
        <v>73</v>
      </c>
      <c r="N76" s="11">
        <v>39.75</v>
      </c>
      <c r="O76" s="11">
        <v>48</v>
      </c>
    </row>
    <row r="77" spans="1:15" ht="15.75" thickBot="1">
      <c r="A77" s="81"/>
      <c r="B77" s="81"/>
      <c r="C77" s="82"/>
      <c r="D77" s="12" t="s">
        <v>120</v>
      </c>
      <c r="E77" s="12" t="s">
        <v>108</v>
      </c>
      <c r="F77" s="11">
        <v>25</v>
      </c>
      <c r="G77" s="11">
        <v>35.25</v>
      </c>
      <c r="H77" s="11">
        <v>35.5</v>
      </c>
      <c r="I77" s="11">
        <v>36</v>
      </c>
      <c r="J77" s="11">
        <v>38.75</v>
      </c>
      <c r="K77" s="11">
        <v>46.4</v>
      </c>
      <c r="L77" s="11">
        <v>33</v>
      </c>
      <c r="M77" s="11">
        <v>45.5</v>
      </c>
      <c r="N77" s="11">
        <v>35</v>
      </c>
      <c r="O77" s="11">
        <v>48</v>
      </c>
    </row>
    <row r="78" spans="1:15" ht="15.75" thickBot="1">
      <c r="A78" s="81"/>
      <c r="B78" s="81"/>
      <c r="C78" s="83" t="s">
        <v>80</v>
      </c>
      <c r="D78" s="12" t="s">
        <v>120</v>
      </c>
      <c r="E78" s="12" t="s">
        <v>82</v>
      </c>
      <c r="F78" s="11">
        <v>35.75</v>
      </c>
      <c r="G78" s="11">
        <v>38</v>
      </c>
      <c r="H78" s="11">
        <v>33</v>
      </c>
      <c r="I78" s="11">
        <v>38.75</v>
      </c>
      <c r="J78" s="11">
        <v>30</v>
      </c>
      <c r="K78" s="11">
        <v>46.4</v>
      </c>
      <c r="L78" s="11">
        <v>41</v>
      </c>
      <c r="M78" s="11">
        <v>46.7</v>
      </c>
      <c r="N78" s="11">
        <v>42</v>
      </c>
      <c r="O78" s="11">
        <v>60</v>
      </c>
    </row>
    <row r="79" spans="1:15" ht="15.75" thickBot="1">
      <c r="A79" s="81"/>
      <c r="B79" s="81"/>
      <c r="C79" s="82"/>
      <c r="D79" s="12" t="s">
        <v>119</v>
      </c>
      <c r="E79" s="12" t="s">
        <v>82</v>
      </c>
      <c r="F79" s="10" t="s">
        <v>73</v>
      </c>
      <c r="G79" s="10" t="s">
        <v>73</v>
      </c>
      <c r="H79" s="11">
        <v>30</v>
      </c>
      <c r="I79" s="11">
        <v>38.450000000000003</v>
      </c>
      <c r="J79" s="10" t="s">
        <v>73</v>
      </c>
      <c r="K79" s="10" t="s">
        <v>73</v>
      </c>
      <c r="L79" s="10" t="s">
        <v>73</v>
      </c>
      <c r="M79" s="10" t="s">
        <v>73</v>
      </c>
      <c r="N79" s="11">
        <v>48</v>
      </c>
      <c r="O79" s="11">
        <v>48</v>
      </c>
    </row>
    <row r="80" spans="1:15" ht="15.75" thickBot="1">
      <c r="A80" s="81"/>
      <c r="B80" s="82"/>
      <c r="C80" s="12" t="s">
        <v>121</v>
      </c>
      <c r="D80" s="12" t="s">
        <v>119</v>
      </c>
      <c r="E80" s="12" t="s">
        <v>82</v>
      </c>
      <c r="F80" s="11">
        <v>35.75</v>
      </c>
      <c r="G80" s="11">
        <v>35.75</v>
      </c>
      <c r="H80" s="10" t="s">
        <v>73</v>
      </c>
      <c r="I80" s="10" t="s">
        <v>73</v>
      </c>
      <c r="J80" s="10" t="s">
        <v>73</v>
      </c>
      <c r="K80" s="10" t="s">
        <v>73</v>
      </c>
      <c r="L80" s="10" t="s">
        <v>73</v>
      </c>
      <c r="M80" s="10" t="s">
        <v>73</v>
      </c>
      <c r="N80" s="10" t="s">
        <v>73</v>
      </c>
      <c r="O80" s="10" t="s">
        <v>73</v>
      </c>
    </row>
    <row r="81" spans="1:15" ht="15.75" thickBot="1">
      <c r="A81" s="81"/>
      <c r="B81" s="83" t="s">
        <v>122</v>
      </c>
      <c r="C81" s="83" t="s">
        <v>80</v>
      </c>
      <c r="D81" s="12" t="s">
        <v>109</v>
      </c>
      <c r="E81" s="12" t="s">
        <v>82</v>
      </c>
      <c r="F81" s="11">
        <v>48.75</v>
      </c>
      <c r="G81" s="11">
        <v>75</v>
      </c>
      <c r="H81" s="10" t="s">
        <v>73</v>
      </c>
      <c r="I81" s="10" t="s">
        <v>73</v>
      </c>
      <c r="J81" s="10" t="s">
        <v>73</v>
      </c>
      <c r="K81" s="10" t="s">
        <v>73</v>
      </c>
      <c r="L81" s="11">
        <v>71.25</v>
      </c>
      <c r="M81" s="11">
        <v>90</v>
      </c>
      <c r="N81" s="11">
        <v>46.85</v>
      </c>
      <c r="O81" s="11">
        <v>85.25</v>
      </c>
    </row>
    <row r="82" spans="1:15" ht="15.75" thickBot="1">
      <c r="A82" s="81"/>
      <c r="B82" s="81"/>
      <c r="C82" s="81"/>
      <c r="D82" s="12" t="s">
        <v>123</v>
      </c>
      <c r="E82" s="12" t="s">
        <v>82</v>
      </c>
      <c r="F82" s="11">
        <v>60.5</v>
      </c>
      <c r="G82" s="11">
        <v>69</v>
      </c>
      <c r="H82" s="11">
        <v>38.25</v>
      </c>
      <c r="I82" s="11">
        <v>69.5</v>
      </c>
      <c r="J82" s="11">
        <v>38.25</v>
      </c>
      <c r="K82" s="11">
        <v>78.7</v>
      </c>
      <c r="L82" s="11">
        <v>72.599999999999994</v>
      </c>
      <c r="M82" s="11">
        <v>81.75</v>
      </c>
      <c r="N82" s="11">
        <v>68.849999999999994</v>
      </c>
      <c r="O82" s="11">
        <v>75.25</v>
      </c>
    </row>
    <row r="83" spans="1:15" ht="15.75" thickBot="1">
      <c r="A83" s="81"/>
      <c r="B83" s="82"/>
      <c r="C83" s="82"/>
      <c r="D83" s="12" t="s">
        <v>100</v>
      </c>
      <c r="E83" s="12" t="s">
        <v>82</v>
      </c>
      <c r="F83" s="10" t="s">
        <v>73</v>
      </c>
      <c r="G83" s="10" t="s">
        <v>73</v>
      </c>
      <c r="H83" s="10" t="s">
        <v>73</v>
      </c>
      <c r="I83" s="10" t="s">
        <v>73</v>
      </c>
      <c r="J83" s="10" t="s">
        <v>73</v>
      </c>
      <c r="K83" s="10" t="s">
        <v>73</v>
      </c>
      <c r="L83" s="11">
        <v>27</v>
      </c>
      <c r="M83" s="11">
        <v>34.5</v>
      </c>
      <c r="N83" s="10" t="s">
        <v>73</v>
      </c>
      <c r="O83" s="10" t="s">
        <v>73</v>
      </c>
    </row>
    <row r="84" spans="1:15" ht="15.75" thickBot="1">
      <c r="A84" s="81"/>
      <c r="B84" s="83" t="s">
        <v>124</v>
      </c>
      <c r="C84" s="83" t="s">
        <v>77</v>
      </c>
      <c r="D84" s="83" t="s">
        <v>123</v>
      </c>
      <c r="E84" s="12" t="s">
        <v>72</v>
      </c>
      <c r="F84" s="10" t="s">
        <v>73</v>
      </c>
      <c r="G84" s="10" t="s">
        <v>73</v>
      </c>
      <c r="H84" s="10" t="s">
        <v>73</v>
      </c>
      <c r="I84" s="10" t="s">
        <v>73</v>
      </c>
      <c r="J84" s="10" t="s">
        <v>73</v>
      </c>
      <c r="K84" s="10" t="s">
        <v>73</v>
      </c>
      <c r="L84" s="10" t="s">
        <v>73</v>
      </c>
      <c r="M84" s="10" t="s">
        <v>73</v>
      </c>
      <c r="N84" s="11">
        <v>69</v>
      </c>
      <c r="O84" s="11">
        <v>69</v>
      </c>
    </row>
    <row r="85" spans="1:15" ht="15.75" thickBot="1">
      <c r="A85" s="81"/>
      <c r="B85" s="81"/>
      <c r="C85" s="81"/>
      <c r="D85" s="82"/>
      <c r="E85" s="12" t="s">
        <v>108</v>
      </c>
      <c r="F85" s="10" t="s">
        <v>73</v>
      </c>
      <c r="G85" s="10" t="s">
        <v>73</v>
      </c>
      <c r="H85" s="10" t="s">
        <v>73</v>
      </c>
      <c r="I85" s="10" t="s">
        <v>73</v>
      </c>
      <c r="J85" s="10" t="s">
        <v>73</v>
      </c>
      <c r="K85" s="10" t="s">
        <v>73</v>
      </c>
      <c r="L85" s="11">
        <v>62.5</v>
      </c>
      <c r="M85" s="11">
        <v>68</v>
      </c>
      <c r="N85" s="11">
        <v>65</v>
      </c>
      <c r="O85" s="11">
        <v>80.349999999999994</v>
      </c>
    </row>
    <row r="86" spans="1:15" ht="15.75" thickBot="1">
      <c r="A86" s="81"/>
      <c r="B86" s="81"/>
      <c r="C86" s="82"/>
      <c r="D86" s="12" t="s">
        <v>125</v>
      </c>
      <c r="E86" s="12" t="s">
        <v>108</v>
      </c>
      <c r="F86" s="10" t="s">
        <v>73</v>
      </c>
      <c r="G86" s="10" t="s">
        <v>73</v>
      </c>
      <c r="H86" s="10" t="s">
        <v>73</v>
      </c>
      <c r="I86" s="10" t="s">
        <v>73</v>
      </c>
      <c r="J86" s="10" t="s">
        <v>73</v>
      </c>
      <c r="K86" s="10" t="s">
        <v>73</v>
      </c>
      <c r="L86" s="10" t="s">
        <v>73</v>
      </c>
      <c r="M86" s="10" t="s">
        <v>73</v>
      </c>
      <c r="N86" s="11">
        <v>68.849999999999994</v>
      </c>
      <c r="O86" s="11">
        <v>74.849999999999994</v>
      </c>
    </row>
    <row r="87" spans="1:15" ht="15.75" thickBot="1">
      <c r="A87" s="81"/>
      <c r="B87" s="81"/>
      <c r="C87" s="83" t="s">
        <v>80</v>
      </c>
      <c r="D87" s="12" t="s">
        <v>109</v>
      </c>
      <c r="E87" s="12" t="s">
        <v>82</v>
      </c>
      <c r="F87" s="11">
        <v>45</v>
      </c>
      <c r="G87" s="11">
        <v>63.5</v>
      </c>
      <c r="H87" s="11">
        <v>25</v>
      </c>
      <c r="I87" s="11">
        <v>58.5</v>
      </c>
      <c r="J87" s="11">
        <v>44.5</v>
      </c>
      <c r="K87" s="11">
        <v>68</v>
      </c>
      <c r="L87" s="11">
        <v>29.3</v>
      </c>
      <c r="M87" s="11">
        <v>81.75</v>
      </c>
      <c r="N87" s="11">
        <v>33</v>
      </c>
      <c r="O87" s="11">
        <v>85.25</v>
      </c>
    </row>
    <row r="88" spans="1:15" ht="15.75" thickBot="1">
      <c r="A88" s="81"/>
      <c r="B88" s="81"/>
      <c r="C88" s="81"/>
      <c r="D88" s="12" t="s">
        <v>125</v>
      </c>
      <c r="E88" s="12" t="s">
        <v>82</v>
      </c>
      <c r="F88" s="11">
        <v>40</v>
      </c>
      <c r="G88" s="11">
        <v>65.900000000000006</v>
      </c>
      <c r="H88" s="11">
        <v>40</v>
      </c>
      <c r="I88" s="11">
        <v>69.5</v>
      </c>
      <c r="J88" s="10" t="s">
        <v>73</v>
      </c>
      <c r="K88" s="10" t="s">
        <v>73</v>
      </c>
      <c r="L88" s="11">
        <v>40</v>
      </c>
      <c r="M88" s="11">
        <v>71.7</v>
      </c>
      <c r="N88" s="11">
        <v>58.5</v>
      </c>
      <c r="O88" s="11">
        <v>68.25</v>
      </c>
    </row>
    <row r="89" spans="1:15" ht="15.75" thickBot="1">
      <c r="A89" s="81"/>
      <c r="B89" s="81"/>
      <c r="C89" s="81"/>
      <c r="D89" s="12" t="s">
        <v>123</v>
      </c>
      <c r="E89" s="12" t="s">
        <v>82</v>
      </c>
      <c r="F89" s="11">
        <v>42</v>
      </c>
      <c r="G89" s="11">
        <v>65.900000000000006</v>
      </c>
      <c r="H89" s="11">
        <v>43.25</v>
      </c>
      <c r="I89" s="11">
        <v>65</v>
      </c>
      <c r="J89" s="11">
        <v>51</v>
      </c>
      <c r="K89" s="11">
        <v>75.5</v>
      </c>
      <c r="L89" s="11">
        <v>58.5</v>
      </c>
      <c r="M89" s="11">
        <v>75.5</v>
      </c>
      <c r="N89" s="11">
        <v>62.25</v>
      </c>
      <c r="O89" s="11">
        <v>72.849999999999994</v>
      </c>
    </row>
    <row r="90" spans="1:15" ht="15.75" thickBot="1">
      <c r="A90" s="81"/>
      <c r="B90" s="81"/>
      <c r="C90" s="82"/>
      <c r="D90" s="12" t="s">
        <v>120</v>
      </c>
      <c r="E90" s="12" t="s">
        <v>82</v>
      </c>
      <c r="F90" s="10" t="s">
        <v>73</v>
      </c>
      <c r="G90" s="10" t="s">
        <v>73</v>
      </c>
      <c r="H90" s="10" t="s">
        <v>73</v>
      </c>
      <c r="I90" s="10" t="s">
        <v>73</v>
      </c>
      <c r="J90" s="10" t="s">
        <v>73</v>
      </c>
      <c r="K90" s="10" t="s">
        <v>73</v>
      </c>
      <c r="L90" s="10" t="s">
        <v>73</v>
      </c>
      <c r="M90" s="10" t="s">
        <v>73</v>
      </c>
      <c r="N90" s="11">
        <v>58.85</v>
      </c>
      <c r="O90" s="11">
        <v>58.85</v>
      </c>
    </row>
    <row r="91" spans="1:15" ht="15.75" thickBot="1">
      <c r="A91" s="81"/>
      <c r="B91" s="81"/>
      <c r="C91" s="12" t="s">
        <v>70</v>
      </c>
      <c r="D91" s="12" t="s">
        <v>109</v>
      </c>
      <c r="E91" s="12" t="s">
        <v>72</v>
      </c>
      <c r="F91" s="10" t="s">
        <v>73</v>
      </c>
      <c r="G91" s="10" t="s">
        <v>73</v>
      </c>
      <c r="H91" s="10" t="s">
        <v>73</v>
      </c>
      <c r="I91" s="10" t="s">
        <v>73</v>
      </c>
      <c r="J91" s="10" t="s">
        <v>73</v>
      </c>
      <c r="K91" s="10" t="s">
        <v>73</v>
      </c>
      <c r="L91" s="10" t="s">
        <v>73</v>
      </c>
      <c r="M91" s="10" t="s">
        <v>73</v>
      </c>
      <c r="N91" s="11">
        <v>33</v>
      </c>
      <c r="O91" s="11">
        <v>68</v>
      </c>
    </row>
    <row r="92" spans="1:15" ht="15.75" thickBot="1">
      <c r="A92" s="81"/>
      <c r="B92" s="81"/>
      <c r="C92" s="83" t="s">
        <v>88</v>
      </c>
      <c r="D92" s="12" t="s">
        <v>109</v>
      </c>
      <c r="E92" s="12" t="s">
        <v>82</v>
      </c>
      <c r="F92" s="10" t="s">
        <v>73</v>
      </c>
      <c r="G92" s="10" t="s">
        <v>73</v>
      </c>
      <c r="H92" s="10" t="s">
        <v>73</v>
      </c>
      <c r="I92" s="10" t="s">
        <v>73</v>
      </c>
      <c r="J92" s="10" t="s">
        <v>73</v>
      </c>
      <c r="K92" s="10" t="s">
        <v>73</v>
      </c>
      <c r="L92" s="10" t="s">
        <v>73</v>
      </c>
      <c r="M92" s="10" t="s">
        <v>73</v>
      </c>
      <c r="N92" s="11">
        <v>55.75</v>
      </c>
      <c r="O92" s="11">
        <v>78</v>
      </c>
    </row>
    <row r="93" spans="1:15" ht="15.75" thickBot="1">
      <c r="A93" s="81"/>
      <c r="B93" s="82"/>
      <c r="C93" s="82"/>
      <c r="D93" s="12" t="s">
        <v>123</v>
      </c>
      <c r="E93" s="12" t="s">
        <v>82</v>
      </c>
      <c r="F93" s="11">
        <v>47</v>
      </c>
      <c r="G93" s="11">
        <v>49.85</v>
      </c>
      <c r="H93" s="10" t="s">
        <v>73</v>
      </c>
      <c r="I93" s="10" t="s">
        <v>73</v>
      </c>
      <c r="J93" s="10" t="s">
        <v>73</v>
      </c>
      <c r="K93" s="10" t="s">
        <v>73</v>
      </c>
      <c r="L93" s="10" t="s">
        <v>73</v>
      </c>
      <c r="M93" s="10" t="s">
        <v>73</v>
      </c>
      <c r="N93" s="10" t="s">
        <v>73</v>
      </c>
      <c r="O93" s="10" t="s">
        <v>73</v>
      </c>
    </row>
    <row r="94" spans="1:15" ht="15.75" thickBot="1">
      <c r="A94" s="81"/>
      <c r="B94" s="83" t="s">
        <v>126</v>
      </c>
      <c r="C94" s="12" t="s">
        <v>77</v>
      </c>
      <c r="D94" s="12" t="s">
        <v>113</v>
      </c>
      <c r="E94" s="12" t="s">
        <v>108</v>
      </c>
      <c r="F94" s="11">
        <v>30.5</v>
      </c>
      <c r="G94" s="11">
        <v>37.75</v>
      </c>
      <c r="H94" s="11">
        <v>30.25</v>
      </c>
      <c r="I94" s="11">
        <v>31</v>
      </c>
      <c r="J94" s="11">
        <v>37</v>
      </c>
      <c r="K94" s="11">
        <v>40</v>
      </c>
      <c r="L94" s="11">
        <v>38.75</v>
      </c>
      <c r="M94" s="11">
        <v>60.75</v>
      </c>
      <c r="N94" s="11">
        <v>41.5</v>
      </c>
      <c r="O94" s="11">
        <v>60.75</v>
      </c>
    </row>
    <row r="95" spans="1:15" ht="15.75" thickBot="1">
      <c r="A95" s="81"/>
      <c r="B95" s="82"/>
      <c r="C95" s="12" t="s">
        <v>80</v>
      </c>
      <c r="D95" s="12" t="s">
        <v>113</v>
      </c>
      <c r="E95" s="12" t="s">
        <v>82</v>
      </c>
      <c r="F95" s="11">
        <v>29</v>
      </c>
      <c r="G95" s="11">
        <v>39</v>
      </c>
      <c r="H95" s="11">
        <v>30.5</v>
      </c>
      <c r="I95" s="11">
        <v>36.5</v>
      </c>
      <c r="J95" s="11">
        <v>34.5</v>
      </c>
      <c r="K95" s="11">
        <v>48.5</v>
      </c>
      <c r="L95" s="11">
        <v>44</v>
      </c>
      <c r="M95" s="11">
        <v>55.55</v>
      </c>
      <c r="N95" s="11">
        <v>44.5</v>
      </c>
      <c r="O95" s="11">
        <v>60.75</v>
      </c>
    </row>
    <row r="96" spans="1:15" ht="15.75" thickBot="1">
      <c r="A96" s="81"/>
      <c r="B96" s="12" t="s">
        <v>127</v>
      </c>
      <c r="C96" s="12" t="s">
        <v>80</v>
      </c>
      <c r="D96" s="12" t="s">
        <v>123</v>
      </c>
      <c r="E96" s="12" t="s">
        <v>82</v>
      </c>
      <c r="F96" s="11">
        <v>35</v>
      </c>
      <c r="G96" s="11">
        <v>35</v>
      </c>
      <c r="H96" s="11">
        <v>35</v>
      </c>
      <c r="I96" s="11">
        <v>35</v>
      </c>
      <c r="J96" s="10" t="s">
        <v>73</v>
      </c>
      <c r="K96" s="10" t="s">
        <v>73</v>
      </c>
      <c r="L96" s="10" t="s">
        <v>73</v>
      </c>
      <c r="M96" s="10" t="s">
        <v>73</v>
      </c>
      <c r="N96" s="10" t="s">
        <v>73</v>
      </c>
      <c r="O96" s="10" t="s">
        <v>73</v>
      </c>
    </row>
    <row r="97" spans="1:15" ht="15.75" thickBot="1">
      <c r="A97" s="81"/>
      <c r="B97" s="83" t="s">
        <v>128</v>
      </c>
      <c r="C97" s="83" t="s">
        <v>77</v>
      </c>
      <c r="D97" s="12" t="s">
        <v>129</v>
      </c>
      <c r="E97" s="12" t="s">
        <v>108</v>
      </c>
      <c r="F97" s="10" t="s">
        <v>73</v>
      </c>
      <c r="G97" s="10" t="s">
        <v>73</v>
      </c>
      <c r="H97" s="10" t="s">
        <v>73</v>
      </c>
      <c r="I97" s="10" t="s">
        <v>73</v>
      </c>
      <c r="J97" s="10" t="s">
        <v>73</v>
      </c>
      <c r="K97" s="10" t="s">
        <v>73</v>
      </c>
      <c r="L97" s="11">
        <v>38.5</v>
      </c>
      <c r="M97" s="11">
        <v>61.5</v>
      </c>
      <c r="N97" s="11">
        <v>36.5</v>
      </c>
      <c r="O97" s="11">
        <v>66.25</v>
      </c>
    </row>
    <row r="98" spans="1:15" ht="15.75" thickBot="1">
      <c r="A98" s="81"/>
      <c r="B98" s="81"/>
      <c r="C98" s="81"/>
      <c r="D98" s="12" t="s">
        <v>123</v>
      </c>
      <c r="E98" s="12" t="s">
        <v>108</v>
      </c>
      <c r="F98" s="11">
        <v>26.75</v>
      </c>
      <c r="G98" s="11">
        <v>35.5</v>
      </c>
      <c r="H98" s="11">
        <v>30.25</v>
      </c>
      <c r="I98" s="11">
        <v>31</v>
      </c>
      <c r="J98" s="11">
        <v>35.75</v>
      </c>
      <c r="K98" s="11">
        <v>45</v>
      </c>
      <c r="L98" s="10" t="s">
        <v>73</v>
      </c>
      <c r="M98" s="10" t="s">
        <v>73</v>
      </c>
      <c r="N98" s="10" t="s">
        <v>73</v>
      </c>
      <c r="O98" s="10" t="s">
        <v>73</v>
      </c>
    </row>
    <row r="99" spans="1:15" ht="15.75" thickBot="1">
      <c r="A99" s="81"/>
      <c r="B99" s="81"/>
      <c r="C99" s="81"/>
      <c r="D99" s="12" t="s">
        <v>125</v>
      </c>
      <c r="E99" s="12" t="s">
        <v>108</v>
      </c>
      <c r="F99" s="11">
        <v>26.75</v>
      </c>
      <c r="G99" s="11">
        <v>38.75</v>
      </c>
      <c r="H99" s="11">
        <v>30.25</v>
      </c>
      <c r="I99" s="11">
        <v>31</v>
      </c>
      <c r="J99" s="11">
        <v>35.75</v>
      </c>
      <c r="K99" s="11">
        <v>45</v>
      </c>
      <c r="L99" s="11">
        <v>43.5</v>
      </c>
      <c r="M99" s="11">
        <v>49.45</v>
      </c>
      <c r="N99" s="10" t="s">
        <v>73</v>
      </c>
      <c r="O99" s="10" t="s">
        <v>73</v>
      </c>
    </row>
    <row r="100" spans="1:15" ht="15.75" thickBot="1">
      <c r="A100" s="81"/>
      <c r="B100" s="81"/>
      <c r="C100" s="82"/>
      <c r="D100" s="12" t="s">
        <v>130</v>
      </c>
      <c r="E100" s="12" t="s">
        <v>108</v>
      </c>
      <c r="F100" s="10" t="s">
        <v>73</v>
      </c>
      <c r="G100" s="10" t="s">
        <v>73</v>
      </c>
      <c r="H100" s="10" t="s">
        <v>73</v>
      </c>
      <c r="I100" s="10" t="s">
        <v>73</v>
      </c>
      <c r="J100" s="10" t="s">
        <v>73</v>
      </c>
      <c r="K100" s="10" t="s">
        <v>73</v>
      </c>
      <c r="L100" s="11">
        <v>36.75</v>
      </c>
      <c r="M100" s="11">
        <v>61.5</v>
      </c>
      <c r="N100" s="11">
        <v>36.5</v>
      </c>
      <c r="O100" s="11">
        <v>66.25</v>
      </c>
    </row>
    <row r="101" spans="1:15" ht="15.75" thickBot="1">
      <c r="A101" s="81"/>
      <c r="B101" s="81"/>
      <c r="C101" s="12" t="s">
        <v>115</v>
      </c>
      <c r="D101" s="12" t="s">
        <v>116</v>
      </c>
      <c r="E101" s="12" t="s">
        <v>72</v>
      </c>
      <c r="F101" s="10" t="s">
        <v>73</v>
      </c>
      <c r="G101" s="10" t="s">
        <v>73</v>
      </c>
      <c r="H101" s="10" t="s">
        <v>73</v>
      </c>
      <c r="I101" s="10" t="s">
        <v>73</v>
      </c>
      <c r="J101" s="10" t="s">
        <v>73</v>
      </c>
      <c r="K101" s="10" t="s">
        <v>73</v>
      </c>
      <c r="L101" s="11">
        <v>11.6</v>
      </c>
      <c r="M101" s="11">
        <v>18</v>
      </c>
      <c r="N101" s="10" t="s">
        <v>73</v>
      </c>
      <c r="O101" s="10" t="s">
        <v>73</v>
      </c>
    </row>
    <row r="102" spans="1:15" ht="15.75" thickBot="1">
      <c r="A102" s="81"/>
      <c r="B102" s="81"/>
      <c r="C102" s="83" t="s">
        <v>80</v>
      </c>
      <c r="D102" s="12" t="s">
        <v>123</v>
      </c>
      <c r="E102" s="12" t="s">
        <v>82</v>
      </c>
      <c r="F102" s="11">
        <v>28.5</v>
      </c>
      <c r="G102" s="11">
        <v>38.5</v>
      </c>
      <c r="H102" s="11">
        <v>26</v>
      </c>
      <c r="I102" s="11">
        <v>35.5</v>
      </c>
      <c r="J102" s="11">
        <v>33.5</v>
      </c>
      <c r="K102" s="11">
        <v>46</v>
      </c>
      <c r="L102" s="10" t="s">
        <v>73</v>
      </c>
      <c r="M102" s="10" t="s">
        <v>73</v>
      </c>
      <c r="N102" s="10" t="s">
        <v>73</v>
      </c>
      <c r="O102" s="10" t="s">
        <v>73</v>
      </c>
    </row>
    <row r="103" spans="1:15" ht="15.75" thickBot="1">
      <c r="A103" s="81"/>
      <c r="B103" s="81"/>
      <c r="C103" s="81"/>
      <c r="D103" s="12" t="s">
        <v>130</v>
      </c>
      <c r="E103" s="12" t="s">
        <v>82</v>
      </c>
      <c r="F103" s="11">
        <v>32</v>
      </c>
      <c r="G103" s="11">
        <v>32</v>
      </c>
      <c r="H103" s="10" t="s">
        <v>73</v>
      </c>
      <c r="I103" s="10" t="s">
        <v>73</v>
      </c>
      <c r="J103" s="10" t="s">
        <v>73</v>
      </c>
      <c r="K103" s="10" t="s">
        <v>73</v>
      </c>
      <c r="L103" s="10" t="s">
        <v>73</v>
      </c>
      <c r="M103" s="10" t="s">
        <v>73</v>
      </c>
      <c r="N103" s="11">
        <v>40</v>
      </c>
      <c r="O103" s="11">
        <v>58</v>
      </c>
    </row>
    <row r="104" spans="1:15" ht="15.75" thickBot="1">
      <c r="A104" s="81"/>
      <c r="B104" s="81"/>
      <c r="C104" s="81"/>
      <c r="D104" s="12" t="s">
        <v>125</v>
      </c>
      <c r="E104" s="12" t="s">
        <v>82</v>
      </c>
      <c r="F104" s="11">
        <v>28.5</v>
      </c>
      <c r="G104" s="11">
        <v>38.75</v>
      </c>
      <c r="H104" s="11">
        <v>26</v>
      </c>
      <c r="I104" s="11">
        <v>37.25</v>
      </c>
      <c r="J104" s="11">
        <v>33.5</v>
      </c>
      <c r="K104" s="11">
        <v>46</v>
      </c>
      <c r="L104" s="11">
        <v>43.5</v>
      </c>
      <c r="M104" s="11">
        <v>50.65</v>
      </c>
      <c r="N104" s="10" t="s">
        <v>73</v>
      </c>
      <c r="O104" s="10" t="s">
        <v>73</v>
      </c>
    </row>
    <row r="105" spans="1:15" ht="15.75" thickBot="1">
      <c r="A105" s="81"/>
      <c r="B105" s="81"/>
      <c r="C105" s="82"/>
      <c r="D105" s="12" t="s">
        <v>129</v>
      </c>
      <c r="E105" s="12" t="s">
        <v>82</v>
      </c>
      <c r="F105" s="11">
        <v>32</v>
      </c>
      <c r="G105" s="11">
        <v>32</v>
      </c>
      <c r="H105" s="10" t="s">
        <v>73</v>
      </c>
      <c r="I105" s="10" t="s">
        <v>73</v>
      </c>
      <c r="J105" s="10" t="s">
        <v>73</v>
      </c>
      <c r="K105" s="10" t="s">
        <v>73</v>
      </c>
      <c r="L105" s="11">
        <v>28</v>
      </c>
      <c r="M105" s="11">
        <v>43.5</v>
      </c>
      <c r="N105" s="11">
        <v>40</v>
      </c>
      <c r="O105" s="11">
        <v>58</v>
      </c>
    </row>
    <row r="106" spans="1:15" ht="15.75" thickBot="1">
      <c r="A106" s="81"/>
      <c r="B106" s="81"/>
      <c r="C106" s="83" t="s">
        <v>131</v>
      </c>
      <c r="D106" s="12" t="s">
        <v>129</v>
      </c>
      <c r="E106" s="12" t="s">
        <v>108</v>
      </c>
      <c r="F106" s="10" t="s">
        <v>73</v>
      </c>
      <c r="G106" s="10" t="s">
        <v>73</v>
      </c>
      <c r="H106" s="11">
        <v>27</v>
      </c>
      <c r="I106" s="11">
        <v>27</v>
      </c>
      <c r="J106" s="10" t="s">
        <v>73</v>
      </c>
      <c r="K106" s="10" t="s">
        <v>73</v>
      </c>
      <c r="L106" s="10" t="s">
        <v>73</v>
      </c>
      <c r="M106" s="10" t="s">
        <v>73</v>
      </c>
      <c r="N106" s="10" t="s">
        <v>73</v>
      </c>
      <c r="O106" s="10" t="s">
        <v>73</v>
      </c>
    </row>
    <row r="107" spans="1:15" ht="15.75" thickBot="1">
      <c r="A107" s="82"/>
      <c r="B107" s="82"/>
      <c r="C107" s="82"/>
      <c r="D107" s="12" t="s">
        <v>130</v>
      </c>
      <c r="E107" s="12" t="s">
        <v>108</v>
      </c>
      <c r="F107" s="10" t="s">
        <v>73</v>
      </c>
      <c r="G107" s="10" t="s">
        <v>73</v>
      </c>
      <c r="H107" s="11">
        <v>27</v>
      </c>
      <c r="I107" s="11">
        <v>27</v>
      </c>
      <c r="J107" s="10" t="s">
        <v>73</v>
      </c>
      <c r="K107" s="10" t="s">
        <v>73</v>
      </c>
      <c r="L107" s="10" t="s">
        <v>73</v>
      </c>
      <c r="M107" s="10" t="s">
        <v>73</v>
      </c>
      <c r="N107" s="10" t="s">
        <v>73</v>
      </c>
      <c r="O107" s="10" t="s">
        <v>73</v>
      </c>
    </row>
    <row r="108" spans="1:15" ht="15.75" thickBot="1">
      <c r="A108" s="83" t="s">
        <v>50</v>
      </c>
      <c r="B108" s="83" t="s">
        <v>132</v>
      </c>
      <c r="C108" s="12" t="s">
        <v>77</v>
      </c>
      <c r="D108" s="12" t="s">
        <v>107</v>
      </c>
      <c r="E108" s="12" t="s">
        <v>72</v>
      </c>
      <c r="F108" s="11">
        <v>25</v>
      </c>
      <c r="G108" s="11">
        <v>27.45</v>
      </c>
      <c r="H108" s="11">
        <v>22</v>
      </c>
      <c r="I108" s="11">
        <v>24</v>
      </c>
      <c r="J108" s="10" t="s">
        <v>73</v>
      </c>
      <c r="K108" s="10" t="s">
        <v>73</v>
      </c>
      <c r="L108" s="10" t="s">
        <v>73</v>
      </c>
      <c r="M108" s="10" t="s">
        <v>73</v>
      </c>
      <c r="N108" s="10" t="s">
        <v>73</v>
      </c>
      <c r="O108" s="10" t="s">
        <v>73</v>
      </c>
    </row>
    <row r="109" spans="1:15" ht="15.75" thickBot="1">
      <c r="A109" s="81"/>
      <c r="B109" s="82"/>
      <c r="C109" s="12" t="s">
        <v>80</v>
      </c>
      <c r="D109" s="12" t="s">
        <v>107</v>
      </c>
      <c r="E109" s="12" t="s">
        <v>82</v>
      </c>
      <c r="F109" s="11">
        <v>23</v>
      </c>
      <c r="G109" s="11">
        <v>32.950000000000003</v>
      </c>
      <c r="H109" s="11">
        <v>25</v>
      </c>
      <c r="I109" s="11">
        <v>30</v>
      </c>
      <c r="J109" s="10" t="s">
        <v>73</v>
      </c>
      <c r="K109" s="10" t="s">
        <v>73</v>
      </c>
      <c r="L109" s="11">
        <v>47.6</v>
      </c>
      <c r="M109" s="11">
        <v>47.9</v>
      </c>
      <c r="N109" s="10" t="s">
        <v>73</v>
      </c>
      <c r="O109" s="10" t="s">
        <v>73</v>
      </c>
    </row>
    <row r="110" spans="1:15" ht="15.75" thickBot="1">
      <c r="A110" s="81"/>
      <c r="B110" s="83" t="s">
        <v>90</v>
      </c>
      <c r="C110" s="83" t="s">
        <v>77</v>
      </c>
      <c r="D110" s="12" t="s">
        <v>107</v>
      </c>
      <c r="E110" s="12" t="s">
        <v>72</v>
      </c>
      <c r="F110" s="11">
        <v>15.5</v>
      </c>
      <c r="G110" s="11">
        <v>29.3</v>
      </c>
      <c r="H110" s="11">
        <v>19.5</v>
      </c>
      <c r="I110" s="11">
        <v>26</v>
      </c>
      <c r="J110" s="11">
        <v>23.75</v>
      </c>
      <c r="K110" s="11">
        <v>29.95</v>
      </c>
      <c r="L110" s="11">
        <v>24</v>
      </c>
      <c r="M110" s="11">
        <v>36.299999999999997</v>
      </c>
      <c r="N110" s="10" t="s">
        <v>73</v>
      </c>
      <c r="O110" s="10" t="s">
        <v>73</v>
      </c>
    </row>
    <row r="111" spans="1:15" ht="15.75" thickBot="1">
      <c r="A111" s="81"/>
      <c r="B111" s="81"/>
      <c r="C111" s="82"/>
      <c r="D111" s="12" t="s">
        <v>109</v>
      </c>
      <c r="E111" s="12" t="s">
        <v>72</v>
      </c>
      <c r="F111" s="10" t="s">
        <v>73</v>
      </c>
      <c r="G111" s="10" t="s">
        <v>73</v>
      </c>
      <c r="H111" s="10" t="s">
        <v>73</v>
      </c>
      <c r="I111" s="10" t="s">
        <v>73</v>
      </c>
      <c r="J111" s="10" t="s">
        <v>73</v>
      </c>
      <c r="K111" s="10" t="s">
        <v>73</v>
      </c>
      <c r="L111" s="10" t="s">
        <v>73</v>
      </c>
      <c r="M111" s="10" t="s">
        <v>73</v>
      </c>
      <c r="N111" s="11">
        <v>21.75</v>
      </c>
      <c r="O111" s="11">
        <v>35.5</v>
      </c>
    </row>
    <row r="112" spans="1:15" ht="15.75" thickBot="1">
      <c r="A112" s="81"/>
      <c r="B112" s="81"/>
      <c r="C112" s="83" t="s">
        <v>80</v>
      </c>
      <c r="D112" s="12" t="s">
        <v>107</v>
      </c>
      <c r="E112" s="12" t="s">
        <v>82</v>
      </c>
      <c r="F112" s="11">
        <v>16.5</v>
      </c>
      <c r="G112" s="11">
        <v>32</v>
      </c>
      <c r="H112" s="11">
        <v>17</v>
      </c>
      <c r="I112" s="11">
        <v>26.5</v>
      </c>
      <c r="J112" s="11">
        <v>20</v>
      </c>
      <c r="K112" s="11">
        <v>40</v>
      </c>
      <c r="L112" s="11">
        <v>24</v>
      </c>
      <c r="M112" s="11">
        <v>44.85</v>
      </c>
      <c r="N112" s="10" t="s">
        <v>73</v>
      </c>
      <c r="O112" s="10" t="s">
        <v>73</v>
      </c>
    </row>
    <row r="113" spans="1:15" ht="15.75" thickBot="1">
      <c r="A113" s="81"/>
      <c r="B113" s="81"/>
      <c r="C113" s="82"/>
      <c r="D113" s="12" t="s">
        <v>109</v>
      </c>
      <c r="E113" s="12" t="s">
        <v>82</v>
      </c>
      <c r="F113" s="10" t="s">
        <v>73</v>
      </c>
      <c r="G113" s="10" t="s">
        <v>73</v>
      </c>
      <c r="H113" s="10" t="s">
        <v>73</v>
      </c>
      <c r="I113" s="10" t="s">
        <v>73</v>
      </c>
      <c r="J113" s="10" t="s">
        <v>73</v>
      </c>
      <c r="K113" s="10" t="s">
        <v>73</v>
      </c>
      <c r="L113" s="10" t="s">
        <v>73</v>
      </c>
      <c r="M113" s="10" t="s">
        <v>73</v>
      </c>
      <c r="N113" s="11">
        <v>26</v>
      </c>
      <c r="O113" s="11">
        <v>30</v>
      </c>
    </row>
    <row r="114" spans="1:15" ht="15.75" thickBot="1">
      <c r="A114" s="81"/>
      <c r="B114" s="81"/>
      <c r="C114" s="83" t="s">
        <v>70</v>
      </c>
      <c r="D114" s="12" t="s">
        <v>107</v>
      </c>
      <c r="E114" s="12" t="s">
        <v>72</v>
      </c>
      <c r="F114" s="10" t="s">
        <v>73</v>
      </c>
      <c r="G114" s="10" t="s">
        <v>73</v>
      </c>
      <c r="H114" s="10" t="s">
        <v>73</v>
      </c>
      <c r="I114" s="10" t="s">
        <v>73</v>
      </c>
      <c r="J114" s="10" t="s">
        <v>73</v>
      </c>
      <c r="K114" s="10" t="s">
        <v>73</v>
      </c>
      <c r="L114" s="11">
        <v>24</v>
      </c>
      <c r="M114" s="11">
        <v>24</v>
      </c>
      <c r="N114" s="10" t="s">
        <v>73</v>
      </c>
      <c r="O114" s="10" t="s">
        <v>73</v>
      </c>
    </row>
    <row r="115" spans="1:15" ht="15.75" thickBot="1">
      <c r="A115" s="81"/>
      <c r="B115" s="81"/>
      <c r="C115" s="82"/>
      <c r="D115" s="12" t="s">
        <v>109</v>
      </c>
      <c r="E115" s="12" t="s">
        <v>72</v>
      </c>
      <c r="F115" s="10" t="s">
        <v>73</v>
      </c>
      <c r="G115" s="10" t="s">
        <v>73</v>
      </c>
      <c r="H115" s="10" t="s">
        <v>73</v>
      </c>
      <c r="I115" s="10" t="s">
        <v>73</v>
      </c>
      <c r="J115" s="10" t="s">
        <v>73</v>
      </c>
      <c r="K115" s="10" t="s">
        <v>73</v>
      </c>
      <c r="L115" s="10" t="s">
        <v>73</v>
      </c>
      <c r="M115" s="10" t="s">
        <v>73</v>
      </c>
      <c r="N115" s="11">
        <v>24.5</v>
      </c>
      <c r="O115" s="11">
        <v>30.5</v>
      </c>
    </row>
    <row r="116" spans="1:15" ht="15.75" thickBot="1">
      <c r="A116" s="81"/>
      <c r="B116" s="82"/>
      <c r="C116" s="12" t="s">
        <v>88</v>
      </c>
      <c r="D116" s="12" t="s">
        <v>109</v>
      </c>
      <c r="E116" s="12" t="s">
        <v>82</v>
      </c>
      <c r="F116" s="10" t="s">
        <v>73</v>
      </c>
      <c r="G116" s="10" t="s">
        <v>73</v>
      </c>
      <c r="H116" s="10" t="s">
        <v>73</v>
      </c>
      <c r="I116" s="10" t="s">
        <v>73</v>
      </c>
      <c r="J116" s="10" t="s">
        <v>73</v>
      </c>
      <c r="K116" s="10" t="s">
        <v>73</v>
      </c>
      <c r="L116" s="10" t="s">
        <v>73</v>
      </c>
      <c r="M116" s="10" t="s">
        <v>73</v>
      </c>
      <c r="N116" s="11">
        <v>24</v>
      </c>
      <c r="O116" s="11">
        <v>33</v>
      </c>
    </row>
    <row r="117" spans="1:15" ht="15.75" thickBot="1">
      <c r="A117" s="81"/>
      <c r="B117" s="83" t="s">
        <v>133</v>
      </c>
      <c r="C117" s="83" t="s">
        <v>77</v>
      </c>
      <c r="D117" s="12" t="s">
        <v>107</v>
      </c>
      <c r="E117" s="12" t="s">
        <v>72</v>
      </c>
      <c r="F117" s="11">
        <v>41.5</v>
      </c>
      <c r="G117" s="11">
        <v>48.85</v>
      </c>
      <c r="H117" s="11">
        <v>41.5</v>
      </c>
      <c r="I117" s="11">
        <v>52.85</v>
      </c>
      <c r="J117" s="11">
        <v>27.5</v>
      </c>
      <c r="K117" s="11">
        <v>58</v>
      </c>
      <c r="L117" s="11">
        <v>43</v>
      </c>
      <c r="M117" s="11">
        <v>62</v>
      </c>
      <c r="N117" s="10" t="s">
        <v>73</v>
      </c>
      <c r="O117" s="10" t="s">
        <v>73</v>
      </c>
    </row>
    <row r="118" spans="1:15" ht="15.75" thickBot="1">
      <c r="A118" s="81"/>
      <c r="B118" s="81"/>
      <c r="C118" s="82"/>
      <c r="D118" s="12" t="s">
        <v>109</v>
      </c>
      <c r="E118" s="12" t="s">
        <v>72</v>
      </c>
      <c r="F118" s="10" t="s">
        <v>73</v>
      </c>
      <c r="G118" s="10" t="s">
        <v>73</v>
      </c>
      <c r="H118" s="10" t="s">
        <v>73</v>
      </c>
      <c r="I118" s="10" t="s">
        <v>73</v>
      </c>
      <c r="J118" s="10" t="s">
        <v>73</v>
      </c>
      <c r="K118" s="10" t="s">
        <v>73</v>
      </c>
      <c r="L118" s="10" t="s">
        <v>73</v>
      </c>
      <c r="M118" s="10" t="s">
        <v>73</v>
      </c>
      <c r="N118" s="11">
        <v>37</v>
      </c>
      <c r="O118" s="11">
        <v>56.85</v>
      </c>
    </row>
    <row r="119" spans="1:15" ht="15.75" thickBot="1">
      <c r="A119" s="81"/>
      <c r="B119" s="81"/>
      <c r="C119" s="12" t="s">
        <v>114</v>
      </c>
      <c r="D119" s="12" t="s">
        <v>107</v>
      </c>
      <c r="E119" s="12" t="s">
        <v>72</v>
      </c>
      <c r="F119" s="10" t="s">
        <v>73</v>
      </c>
      <c r="G119" s="10" t="s">
        <v>73</v>
      </c>
      <c r="H119" s="10" t="s">
        <v>73</v>
      </c>
      <c r="I119" s="10" t="s">
        <v>73</v>
      </c>
      <c r="J119" s="10" t="s">
        <v>73</v>
      </c>
      <c r="K119" s="10" t="s">
        <v>73</v>
      </c>
      <c r="L119" s="11">
        <v>62</v>
      </c>
      <c r="M119" s="11">
        <v>62</v>
      </c>
      <c r="N119" s="10" t="s">
        <v>73</v>
      </c>
      <c r="O119" s="10" t="s">
        <v>73</v>
      </c>
    </row>
    <row r="120" spans="1:15" ht="15.75" thickBot="1">
      <c r="A120" s="81"/>
      <c r="B120" s="81"/>
      <c r="C120" s="83" t="s">
        <v>80</v>
      </c>
      <c r="D120" s="12" t="s">
        <v>107</v>
      </c>
      <c r="E120" s="12" t="s">
        <v>82</v>
      </c>
      <c r="F120" s="11">
        <v>30.85</v>
      </c>
      <c r="G120" s="11">
        <v>54.85</v>
      </c>
      <c r="H120" s="11">
        <v>34.5</v>
      </c>
      <c r="I120" s="11">
        <v>56.85</v>
      </c>
      <c r="J120" s="11">
        <v>33.75</v>
      </c>
      <c r="K120" s="11">
        <v>57.05</v>
      </c>
      <c r="L120" s="11">
        <v>24</v>
      </c>
      <c r="M120" s="11">
        <v>86.35</v>
      </c>
      <c r="N120" s="10" t="s">
        <v>73</v>
      </c>
      <c r="O120" s="10" t="s">
        <v>73</v>
      </c>
    </row>
    <row r="121" spans="1:15" ht="15.75" thickBot="1">
      <c r="A121" s="81"/>
      <c r="B121" s="81"/>
      <c r="C121" s="82"/>
      <c r="D121" s="12" t="s">
        <v>109</v>
      </c>
      <c r="E121" s="12" t="s">
        <v>82</v>
      </c>
      <c r="F121" s="10" t="s">
        <v>73</v>
      </c>
      <c r="G121" s="10" t="s">
        <v>73</v>
      </c>
      <c r="H121" s="10" t="s">
        <v>73</v>
      </c>
      <c r="I121" s="10" t="s">
        <v>73</v>
      </c>
      <c r="J121" s="10" t="s">
        <v>73</v>
      </c>
      <c r="K121" s="10" t="s">
        <v>73</v>
      </c>
      <c r="L121" s="10" t="s">
        <v>73</v>
      </c>
      <c r="M121" s="10" t="s">
        <v>73</v>
      </c>
      <c r="N121" s="11">
        <v>30</v>
      </c>
      <c r="O121" s="11">
        <v>52.85</v>
      </c>
    </row>
    <row r="122" spans="1:15" ht="15.75" thickBot="1">
      <c r="A122" s="81"/>
      <c r="B122" s="82"/>
      <c r="C122" s="12" t="s">
        <v>88</v>
      </c>
      <c r="D122" s="12" t="s">
        <v>107</v>
      </c>
      <c r="E122" s="12" t="s">
        <v>82</v>
      </c>
      <c r="F122" s="11">
        <v>30.75</v>
      </c>
      <c r="G122" s="11">
        <v>58.75</v>
      </c>
      <c r="H122" s="10" t="s">
        <v>73</v>
      </c>
      <c r="I122" s="10" t="s">
        <v>73</v>
      </c>
      <c r="J122" s="10" t="s">
        <v>73</v>
      </c>
      <c r="K122" s="10" t="s">
        <v>73</v>
      </c>
      <c r="L122" s="11">
        <v>45</v>
      </c>
      <c r="M122" s="11">
        <v>46</v>
      </c>
      <c r="N122" s="10" t="s">
        <v>73</v>
      </c>
      <c r="O122" s="10" t="s">
        <v>73</v>
      </c>
    </row>
    <row r="123" spans="1:15" ht="15.75" thickBot="1">
      <c r="A123" s="81"/>
      <c r="B123" s="83" t="s">
        <v>99</v>
      </c>
      <c r="C123" s="83" t="s">
        <v>77</v>
      </c>
      <c r="D123" s="12" t="s">
        <v>107</v>
      </c>
      <c r="E123" s="12" t="s">
        <v>72</v>
      </c>
      <c r="F123" s="11">
        <v>41</v>
      </c>
      <c r="G123" s="11">
        <v>52.85</v>
      </c>
      <c r="H123" s="11">
        <v>33</v>
      </c>
      <c r="I123" s="11">
        <v>52.85</v>
      </c>
      <c r="J123" s="11">
        <v>23.75</v>
      </c>
      <c r="K123" s="11">
        <v>58</v>
      </c>
      <c r="L123" s="11">
        <v>43</v>
      </c>
      <c r="M123" s="11">
        <v>62</v>
      </c>
      <c r="N123" s="10" t="s">
        <v>73</v>
      </c>
      <c r="O123" s="10" t="s">
        <v>73</v>
      </c>
    </row>
    <row r="124" spans="1:15" ht="15.75" thickBot="1">
      <c r="A124" s="81"/>
      <c r="B124" s="81"/>
      <c r="C124" s="82"/>
      <c r="D124" s="12" t="s">
        <v>109</v>
      </c>
      <c r="E124" s="12" t="s">
        <v>72</v>
      </c>
      <c r="F124" s="10" t="s">
        <v>73</v>
      </c>
      <c r="G124" s="10" t="s">
        <v>73</v>
      </c>
      <c r="H124" s="10" t="s">
        <v>73</v>
      </c>
      <c r="I124" s="10" t="s">
        <v>73</v>
      </c>
      <c r="J124" s="10" t="s">
        <v>73</v>
      </c>
      <c r="K124" s="10" t="s">
        <v>73</v>
      </c>
      <c r="L124" s="10" t="s">
        <v>73</v>
      </c>
      <c r="M124" s="10" t="s">
        <v>73</v>
      </c>
      <c r="N124" s="11">
        <v>40.85</v>
      </c>
      <c r="O124" s="11">
        <v>56.85</v>
      </c>
    </row>
    <row r="125" spans="1:15" ht="15.75" thickBot="1">
      <c r="A125" s="81"/>
      <c r="B125" s="81"/>
      <c r="C125" s="12" t="s">
        <v>114</v>
      </c>
      <c r="D125" s="12" t="s">
        <v>107</v>
      </c>
      <c r="E125" s="12" t="s">
        <v>72</v>
      </c>
      <c r="F125" s="10" t="s">
        <v>73</v>
      </c>
      <c r="G125" s="10" t="s">
        <v>73</v>
      </c>
      <c r="H125" s="10" t="s">
        <v>73</v>
      </c>
      <c r="I125" s="10" t="s">
        <v>73</v>
      </c>
      <c r="J125" s="10" t="s">
        <v>73</v>
      </c>
      <c r="K125" s="10" t="s">
        <v>73</v>
      </c>
      <c r="L125" s="11">
        <v>62</v>
      </c>
      <c r="M125" s="11">
        <v>62</v>
      </c>
      <c r="N125" s="10" t="s">
        <v>73</v>
      </c>
      <c r="O125" s="10" t="s">
        <v>73</v>
      </c>
    </row>
    <row r="126" spans="1:15" ht="15.75" thickBot="1">
      <c r="A126" s="81"/>
      <c r="B126" s="81"/>
      <c r="C126" s="83" t="s">
        <v>80</v>
      </c>
      <c r="D126" s="12" t="s">
        <v>109</v>
      </c>
      <c r="E126" s="12" t="s">
        <v>82</v>
      </c>
      <c r="F126" s="10" t="s">
        <v>73</v>
      </c>
      <c r="G126" s="10" t="s">
        <v>73</v>
      </c>
      <c r="H126" s="10" t="s">
        <v>73</v>
      </c>
      <c r="I126" s="10" t="s">
        <v>73</v>
      </c>
      <c r="J126" s="10" t="s">
        <v>73</v>
      </c>
      <c r="K126" s="10" t="s">
        <v>73</v>
      </c>
      <c r="L126" s="10" t="s">
        <v>73</v>
      </c>
      <c r="M126" s="10" t="s">
        <v>73</v>
      </c>
      <c r="N126" s="11">
        <v>32.75</v>
      </c>
      <c r="O126" s="11">
        <v>52.85</v>
      </c>
    </row>
    <row r="127" spans="1:15" ht="15.75" thickBot="1">
      <c r="A127" s="81"/>
      <c r="B127" s="81"/>
      <c r="C127" s="82"/>
      <c r="D127" s="12" t="s">
        <v>107</v>
      </c>
      <c r="E127" s="12" t="s">
        <v>82</v>
      </c>
      <c r="F127" s="11">
        <v>31.15</v>
      </c>
      <c r="G127" s="11">
        <v>68.75</v>
      </c>
      <c r="H127" s="11">
        <v>33.75</v>
      </c>
      <c r="I127" s="11">
        <v>54.85</v>
      </c>
      <c r="J127" s="11">
        <v>31.75</v>
      </c>
      <c r="K127" s="11">
        <v>68.650000000000006</v>
      </c>
      <c r="L127" s="11">
        <v>36</v>
      </c>
      <c r="M127" s="11">
        <v>66.849999999999994</v>
      </c>
      <c r="N127" s="10" t="s">
        <v>73</v>
      </c>
      <c r="O127" s="10" t="s">
        <v>73</v>
      </c>
    </row>
    <row r="128" spans="1:15" ht="15.75" thickBot="1">
      <c r="A128" s="81"/>
      <c r="B128" s="82"/>
      <c r="C128" s="12" t="s">
        <v>88</v>
      </c>
      <c r="D128" s="12" t="s">
        <v>107</v>
      </c>
      <c r="E128" s="12" t="s">
        <v>82</v>
      </c>
      <c r="F128" s="10" t="s">
        <v>73</v>
      </c>
      <c r="G128" s="10" t="s">
        <v>73</v>
      </c>
      <c r="H128" s="10" t="s">
        <v>73</v>
      </c>
      <c r="I128" s="10" t="s">
        <v>73</v>
      </c>
      <c r="J128" s="10" t="s">
        <v>73</v>
      </c>
      <c r="K128" s="10" t="s">
        <v>73</v>
      </c>
      <c r="L128" s="11">
        <v>40</v>
      </c>
      <c r="M128" s="11">
        <v>62</v>
      </c>
      <c r="N128" s="10" t="s">
        <v>73</v>
      </c>
      <c r="O128" s="10" t="s">
        <v>73</v>
      </c>
    </row>
    <row r="129" spans="1:15" ht="15.75" thickBot="1">
      <c r="A129" s="81"/>
      <c r="B129" s="83" t="s">
        <v>134</v>
      </c>
      <c r="C129" s="83" t="s">
        <v>77</v>
      </c>
      <c r="D129" s="12" t="s">
        <v>107</v>
      </c>
      <c r="E129" s="12" t="s">
        <v>72</v>
      </c>
      <c r="F129" s="11">
        <v>41.5</v>
      </c>
      <c r="G129" s="11">
        <v>46.85</v>
      </c>
      <c r="H129" s="11">
        <v>39.85</v>
      </c>
      <c r="I129" s="11">
        <v>52.85</v>
      </c>
      <c r="J129" s="11">
        <v>27.5</v>
      </c>
      <c r="K129" s="11">
        <v>54.85</v>
      </c>
      <c r="L129" s="11">
        <v>43</v>
      </c>
      <c r="M129" s="11">
        <v>56.85</v>
      </c>
      <c r="N129" s="10" t="s">
        <v>73</v>
      </c>
      <c r="O129" s="10" t="s">
        <v>73</v>
      </c>
    </row>
    <row r="130" spans="1:15" ht="15.75" thickBot="1">
      <c r="A130" s="81"/>
      <c r="B130" s="81"/>
      <c r="C130" s="82"/>
      <c r="D130" s="12" t="s">
        <v>109</v>
      </c>
      <c r="E130" s="12" t="s">
        <v>72</v>
      </c>
      <c r="F130" s="10" t="s">
        <v>73</v>
      </c>
      <c r="G130" s="10" t="s">
        <v>73</v>
      </c>
      <c r="H130" s="10" t="s">
        <v>73</v>
      </c>
      <c r="I130" s="10" t="s">
        <v>73</v>
      </c>
      <c r="J130" s="10" t="s">
        <v>73</v>
      </c>
      <c r="K130" s="10" t="s">
        <v>73</v>
      </c>
      <c r="L130" s="10" t="s">
        <v>73</v>
      </c>
      <c r="M130" s="10" t="s">
        <v>73</v>
      </c>
      <c r="N130" s="11">
        <v>44.85</v>
      </c>
      <c r="O130" s="11">
        <v>56.85</v>
      </c>
    </row>
    <row r="131" spans="1:15" ht="15.75" thickBot="1">
      <c r="A131" s="81"/>
      <c r="B131" s="81"/>
      <c r="C131" s="83" t="s">
        <v>80</v>
      </c>
      <c r="D131" s="12" t="s">
        <v>107</v>
      </c>
      <c r="E131" s="12" t="s">
        <v>82</v>
      </c>
      <c r="F131" s="11">
        <v>41.5</v>
      </c>
      <c r="G131" s="11">
        <v>48.85</v>
      </c>
      <c r="H131" s="11">
        <v>32.85</v>
      </c>
      <c r="I131" s="11">
        <v>50.85</v>
      </c>
      <c r="J131" s="11">
        <v>38.85</v>
      </c>
      <c r="K131" s="11">
        <v>72.3</v>
      </c>
      <c r="L131" s="11">
        <v>40.85</v>
      </c>
      <c r="M131" s="11">
        <v>65.3</v>
      </c>
      <c r="N131" s="10" t="s">
        <v>73</v>
      </c>
      <c r="O131" s="10" t="s">
        <v>73</v>
      </c>
    </row>
    <row r="132" spans="1:15" ht="15.75" thickBot="1">
      <c r="A132" s="81"/>
      <c r="B132" s="81"/>
      <c r="C132" s="82"/>
      <c r="D132" s="12" t="s">
        <v>109</v>
      </c>
      <c r="E132" s="12" t="s">
        <v>82</v>
      </c>
      <c r="F132" s="10" t="s">
        <v>73</v>
      </c>
      <c r="G132" s="10" t="s">
        <v>73</v>
      </c>
      <c r="H132" s="10" t="s">
        <v>73</v>
      </c>
      <c r="I132" s="10" t="s">
        <v>73</v>
      </c>
      <c r="J132" s="10" t="s">
        <v>73</v>
      </c>
      <c r="K132" s="10" t="s">
        <v>73</v>
      </c>
      <c r="L132" s="10" t="s">
        <v>73</v>
      </c>
      <c r="M132" s="10" t="s">
        <v>73</v>
      </c>
      <c r="N132" s="11">
        <v>38</v>
      </c>
      <c r="O132" s="11">
        <v>52.85</v>
      </c>
    </row>
    <row r="133" spans="1:15" ht="15.75" thickBot="1">
      <c r="A133" s="81"/>
      <c r="B133" s="81"/>
      <c r="C133" s="83" t="s">
        <v>88</v>
      </c>
      <c r="D133" s="12" t="s">
        <v>109</v>
      </c>
      <c r="E133" s="12" t="s">
        <v>82</v>
      </c>
      <c r="F133" s="10" t="s">
        <v>73</v>
      </c>
      <c r="G133" s="10" t="s">
        <v>73</v>
      </c>
      <c r="H133" s="10" t="s">
        <v>73</v>
      </c>
      <c r="I133" s="10" t="s">
        <v>73</v>
      </c>
      <c r="J133" s="10" t="s">
        <v>73</v>
      </c>
      <c r="K133" s="10" t="s">
        <v>73</v>
      </c>
      <c r="L133" s="10" t="s">
        <v>73</v>
      </c>
      <c r="M133" s="10" t="s">
        <v>73</v>
      </c>
      <c r="N133" s="11">
        <v>45</v>
      </c>
      <c r="O133" s="11">
        <v>45</v>
      </c>
    </row>
    <row r="134" spans="1:15" ht="15.75" thickBot="1">
      <c r="A134" s="81"/>
      <c r="B134" s="82"/>
      <c r="C134" s="82"/>
      <c r="D134" s="12" t="s">
        <v>107</v>
      </c>
      <c r="E134" s="12" t="s">
        <v>82</v>
      </c>
      <c r="F134" s="10" t="s">
        <v>73</v>
      </c>
      <c r="G134" s="10" t="s">
        <v>73</v>
      </c>
      <c r="H134" s="10" t="s">
        <v>73</v>
      </c>
      <c r="I134" s="10" t="s">
        <v>73</v>
      </c>
      <c r="J134" s="10" t="s">
        <v>73</v>
      </c>
      <c r="K134" s="10" t="s">
        <v>73</v>
      </c>
      <c r="L134" s="11">
        <v>43</v>
      </c>
      <c r="M134" s="11">
        <v>45</v>
      </c>
      <c r="N134" s="10" t="s">
        <v>73</v>
      </c>
      <c r="O134" s="10" t="s">
        <v>73</v>
      </c>
    </row>
    <row r="135" spans="1:15" ht="15.75" thickBot="1">
      <c r="A135" s="81"/>
      <c r="B135" s="83" t="s">
        <v>135</v>
      </c>
      <c r="C135" s="12" t="s">
        <v>77</v>
      </c>
      <c r="D135" s="12" t="s">
        <v>107</v>
      </c>
      <c r="E135" s="12" t="s">
        <v>72</v>
      </c>
      <c r="F135" s="11">
        <v>22</v>
      </c>
      <c r="G135" s="11">
        <v>32</v>
      </c>
      <c r="H135" s="11">
        <v>22</v>
      </c>
      <c r="I135" s="11">
        <v>22</v>
      </c>
      <c r="J135" s="10" t="s">
        <v>73</v>
      </c>
      <c r="K135" s="10" t="s">
        <v>73</v>
      </c>
      <c r="L135" s="10" t="s">
        <v>73</v>
      </c>
      <c r="M135" s="10" t="s">
        <v>73</v>
      </c>
      <c r="N135" s="10" t="s">
        <v>73</v>
      </c>
      <c r="O135" s="10" t="s">
        <v>73</v>
      </c>
    </row>
    <row r="136" spans="1:15" ht="15.75" thickBot="1">
      <c r="A136" s="82"/>
      <c r="B136" s="82"/>
      <c r="C136" s="12" t="s">
        <v>80</v>
      </c>
      <c r="D136" s="12" t="s">
        <v>107</v>
      </c>
      <c r="E136" s="12" t="s">
        <v>82</v>
      </c>
      <c r="F136" s="10" t="s">
        <v>73</v>
      </c>
      <c r="G136" s="10" t="s">
        <v>73</v>
      </c>
      <c r="H136" s="11">
        <v>22</v>
      </c>
      <c r="I136" s="11">
        <v>22</v>
      </c>
      <c r="J136" s="10" t="s">
        <v>73</v>
      </c>
      <c r="K136" s="10" t="s">
        <v>73</v>
      </c>
      <c r="L136" s="10" t="s">
        <v>73</v>
      </c>
      <c r="M136" s="10" t="s">
        <v>73</v>
      </c>
      <c r="N136" s="10" t="s">
        <v>73</v>
      </c>
      <c r="O136" s="10" t="s">
        <v>73</v>
      </c>
    </row>
    <row r="137" spans="1:15" ht="23.25" customHeight="1">
      <c r="A137" s="84" t="s">
        <v>136</v>
      </c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</row>
  </sheetData>
  <mergeCells count="73">
    <mergeCell ref="C133:C134"/>
    <mergeCell ref="B135:B136"/>
    <mergeCell ref="A137:O137"/>
    <mergeCell ref="C114:C115"/>
    <mergeCell ref="B117:B122"/>
    <mergeCell ref="C117:C118"/>
    <mergeCell ref="C120:C121"/>
    <mergeCell ref="B123:B128"/>
    <mergeCell ref="C123:C124"/>
    <mergeCell ref="C126:C127"/>
    <mergeCell ref="A108:A136"/>
    <mergeCell ref="B108:B109"/>
    <mergeCell ref="B110:B116"/>
    <mergeCell ref="C110:C111"/>
    <mergeCell ref="C112:C113"/>
    <mergeCell ref="B129:B134"/>
    <mergeCell ref="C129:C130"/>
    <mergeCell ref="C131:C132"/>
    <mergeCell ref="D84:D85"/>
    <mergeCell ref="C87:C90"/>
    <mergeCell ref="C92:C93"/>
    <mergeCell ref="B94:B95"/>
    <mergeCell ref="B97:B107"/>
    <mergeCell ref="C97:C100"/>
    <mergeCell ref="C102:C105"/>
    <mergeCell ref="C106:C107"/>
    <mergeCell ref="C76:C77"/>
    <mergeCell ref="C78:C79"/>
    <mergeCell ref="B81:B83"/>
    <mergeCell ref="C81:C83"/>
    <mergeCell ref="B84:B93"/>
    <mergeCell ref="C84:C86"/>
    <mergeCell ref="D24:D25"/>
    <mergeCell ref="C32:C40"/>
    <mergeCell ref="A59:A107"/>
    <mergeCell ref="B59:B63"/>
    <mergeCell ref="C59:C60"/>
    <mergeCell ref="B64:B75"/>
    <mergeCell ref="C65:C66"/>
    <mergeCell ref="B48:B52"/>
    <mergeCell ref="C50:C52"/>
    <mergeCell ref="B53:B57"/>
    <mergeCell ref="C53:C54"/>
    <mergeCell ref="C55:C57"/>
    <mergeCell ref="C68:C70"/>
    <mergeCell ref="C71:C73"/>
    <mergeCell ref="D71:D72"/>
    <mergeCell ref="B76:B80"/>
    <mergeCell ref="A6:A58"/>
    <mergeCell ref="B6:B8"/>
    <mergeCell ref="C6:C8"/>
    <mergeCell ref="B9:B12"/>
    <mergeCell ref="C10:C11"/>
    <mergeCell ref="B13:B18"/>
    <mergeCell ref="C14:C17"/>
    <mergeCell ref="B42:B47"/>
    <mergeCell ref="C44:C47"/>
    <mergeCell ref="B20:B41"/>
    <mergeCell ref="C20:C22"/>
    <mergeCell ref="C23:C31"/>
    <mergeCell ref="A1:O1"/>
    <mergeCell ref="A2:O2"/>
    <mergeCell ref="A3:O3"/>
    <mergeCell ref="A4:A5"/>
    <mergeCell ref="B4:B5"/>
    <mergeCell ref="C4:C5"/>
    <mergeCell ref="D4:D5"/>
    <mergeCell ref="E4:E5"/>
    <mergeCell ref="F4:G4"/>
    <mergeCell ref="H4:I4"/>
    <mergeCell ref="J4:K4"/>
    <mergeCell ref="L4:M4"/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Crop Prices (2022-2024) (2)</vt:lpstr>
      <vt:lpstr>Financial Data (R)</vt:lpstr>
      <vt:lpstr>TIP Benchmarks (R)</vt:lpstr>
      <vt:lpstr>Cost-Benefit Analysis 2022</vt:lpstr>
      <vt:lpstr>Cost-Benefit Analysis 2023</vt:lpstr>
      <vt:lpstr>Cost-Benefit Analysis 2024</vt:lpstr>
      <vt:lpstr>Crop Revenue (2022-2024)</vt:lpstr>
      <vt:lpstr>Costs (2022-2024)</vt:lpstr>
      <vt:lpstr>Land Prep Costs (2022-2024)</vt:lpstr>
      <vt:lpstr>Labour Costs (2022-2024)</vt:lpstr>
      <vt:lpstr>Crop Prices (2022-2024)</vt:lpstr>
      <vt:lpstr>Crop Price Summary (AAFC)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Kyriakides</dc:creator>
  <cp:lastModifiedBy>Matthew Kyriakides</cp:lastModifiedBy>
  <dcterms:created xsi:type="dcterms:W3CDTF">2025-10-21T22:00:45Z</dcterms:created>
  <dcterms:modified xsi:type="dcterms:W3CDTF">2026-03-03T14:30:33Z</dcterms:modified>
</cp:coreProperties>
</file>